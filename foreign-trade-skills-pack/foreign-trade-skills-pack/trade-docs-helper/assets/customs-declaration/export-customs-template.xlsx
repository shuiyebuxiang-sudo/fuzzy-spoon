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activeTab="2"/>
  </bookViews>
  <sheets>
    <sheet name="增加项目简要提示" sheetId="8" r:id="rId1"/>
    <sheet name="填制规范" sheetId="7" r:id="rId2"/>
    <sheet name="报关单" sheetId="1" r:id="rId3"/>
    <sheet name="申报要素" sheetId="6" r:id="rId4"/>
    <sheet name="发票" sheetId="3" r:id="rId5"/>
    <sheet name="箱单" sheetId="4" r:id="rId6"/>
    <sheet name="合同" sheetId="2" r:id="rId7"/>
    <sheet name="委托书" sheetId="5" r:id="rId8"/>
  </sheets>
  <definedNames>
    <definedName name="_xlnm.Print_Area" localSheetId="2">报关单!$A$1:$S$43</definedName>
    <definedName name="_xlnm.Print_Area" localSheetId="4">发票!$A$1:$H$27</definedName>
    <definedName name="_xlnm.Print_Area" localSheetId="6">合同!$A$1:$I$60</definedName>
    <definedName name="_xlnm.Print_Area" localSheetId="3">申报要素!$A$7:$I$24</definedName>
    <definedName name="_xlnm.Print_Area" localSheetId="7">委托书!$A$1:$J$49</definedName>
    <definedName name="_xlnm.Print_Area" localSheetId="5">箱单!$A$1:$G$28</definedName>
  </definedNames>
  <calcPr calcId="191029"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O10" authorId="0">
      <text>
        <r>
          <rPr>
            <b/>
            <sz val="9"/>
            <rFont val="宋体"/>
            <charset val="134"/>
          </rPr>
          <t>Administrator:</t>
        </r>
        <r>
          <rPr>
            <sz val="9"/>
            <rFont val="宋体"/>
            <charset val="134"/>
          </rPr>
          <t xml:space="preserve">
原商检系统代码</t>
        </r>
      </text>
    </comment>
  </commentList>
</comments>
</file>

<file path=xl/sharedStrings.xml><?xml version="1.0" encoding="utf-8"?>
<sst xmlns="http://schemas.openxmlformats.org/spreadsheetml/2006/main" count="403" uniqueCount="361">
  <si>
    <t>新版报关单--增加项目简要提示</t>
  </si>
  <si>
    <r>
      <rPr>
        <sz val="14"/>
        <rFont val="宋体"/>
        <charset val="134"/>
      </rPr>
      <t xml:space="preserve">   新版报关单在8.1启动，在启动前期预计会由于填制项目、系统稳定方面会影响申报速度，7月份能申报的单证请一定于7月份申报完成。8月份过度期，请于</t>
    </r>
    <r>
      <rPr>
        <sz val="14"/>
        <color rgb="FFFF0000"/>
        <rFont val="宋体"/>
        <charset val="134"/>
      </rPr>
      <t>截关期前一天</t>
    </r>
    <r>
      <rPr>
        <sz val="14"/>
        <rFont val="宋体"/>
        <charset val="134"/>
      </rPr>
      <t xml:space="preserve">给齐报关资料，给我司审核申报，因为此次影响非常大，请各客户提前做准备，收集以下新增项目，有问题也欢迎来电咨询，谢谢支持！                                                                  .                                 </t>
    </r>
  </si>
  <si>
    <t>增加项目</t>
  </si>
  <si>
    <t>操作准备</t>
  </si>
  <si>
    <t>简要提示</t>
  </si>
  <si>
    <t>企业资质</t>
  </si>
  <si>
    <t>1，单一窗口查询是否有双资质。（报关报检资质 2，如果没有双资质，尽快补录报检资质。</t>
  </si>
  <si>
    <t>进入单一窗口网站进行数据补录</t>
  </si>
  <si>
    <t>境外收发货人</t>
  </si>
  <si>
    <r>
      <rPr>
        <sz val="12"/>
        <rFont val="宋体"/>
        <charset val="134"/>
      </rPr>
      <t>1，签订并执行贸易合同的买方</t>
    </r>
    <r>
      <rPr>
        <sz val="12"/>
        <rFont val="宋体"/>
        <charset val="134"/>
      </rPr>
      <t>/卖方。</t>
    </r>
  </si>
  <si>
    <t>尽量与外汇或提单一致，不一致有没
有关系要看税务局退税会不会关注，
海关不管的</t>
  </si>
  <si>
    <t>AEO(境外收发货人)</t>
  </si>
  <si>
    <r>
      <rPr>
        <sz val="12"/>
        <rFont val="宋体"/>
        <charset val="134"/>
      </rPr>
      <t>1，对于</t>
    </r>
    <r>
      <rPr>
        <sz val="12"/>
        <rFont val="宋体"/>
        <charset val="134"/>
      </rPr>
      <t>AEO</t>
    </r>
    <r>
      <rPr>
        <sz val="12"/>
        <rFont val="宋体"/>
        <charset val="134"/>
      </rPr>
      <t>互认国家（地区）企业的，编码填报</t>
    </r>
    <r>
      <rPr>
        <sz val="12"/>
        <rFont val="宋体"/>
        <charset val="134"/>
      </rPr>
      <t>AEO</t>
    </r>
    <r>
      <rPr>
        <sz val="12"/>
        <rFont val="宋体"/>
        <charset val="134"/>
      </rPr>
      <t>编码。</t>
    </r>
    <r>
      <rPr>
        <sz val="12"/>
        <rFont val="宋体"/>
        <charset val="134"/>
      </rPr>
      <t>2，选填项.3,填写为：国家代码：CN+AEO编号。</t>
    </r>
  </si>
  <si>
    <t>如有填上，可以享受通关便利</t>
  </si>
  <si>
    <t>包装种类(其他包装)</t>
  </si>
  <si>
    <r>
      <rPr>
        <sz val="12"/>
        <rFont val="宋体"/>
        <charset val="134"/>
      </rPr>
      <t>1，填报进出口货物的</t>
    </r>
    <r>
      <rPr>
        <b/>
        <sz val="12"/>
        <color rgb="FFFF0000"/>
        <rFont val="宋体"/>
        <charset val="134"/>
      </rPr>
      <t>所有包装材料</t>
    </r>
    <r>
      <rPr>
        <sz val="12"/>
        <rFont val="宋体"/>
        <charset val="134"/>
      </rPr>
      <t>，包括运输包装和其他包装。                              2，</t>
    </r>
    <r>
      <rPr>
        <b/>
        <sz val="12"/>
        <color rgb="FFFF0000"/>
        <rFont val="宋体"/>
        <charset val="134"/>
      </rPr>
      <t>运输包装</t>
    </r>
    <r>
      <rPr>
        <sz val="12"/>
        <rFont val="宋体"/>
        <charset val="134"/>
      </rPr>
      <t>指提运单所列货物件数单位对应的包装，</t>
    </r>
    <r>
      <rPr>
        <b/>
        <sz val="12"/>
        <color rgb="FFFF0000"/>
        <rFont val="宋体"/>
        <charset val="134"/>
      </rPr>
      <t>其他包装</t>
    </r>
    <r>
      <rPr>
        <sz val="12"/>
        <rFont val="宋体"/>
        <charset val="134"/>
      </rPr>
      <t>包括货物的各类包装，以及植物性铺垫材料等。</t>
    </r>
  </si>
  <si>
    <t>所有包装材料，特别是填物性包装，与商检卫生处理关联。</t>
  </si>
  <si>
    <t>商品编码附加码</t>
  </si>
  <si>
    <t>1，查询网址：http://service.bjciq.gov.cn/ciq_entServiceSystem/framework/ciqCode/QueryCIQCode/listshow.do，2，非法检为：999，3，法检货物需要查询。</t>
  </si>
  <si>
    <t>法检货物，申报要素需更详细与匹配。客户需写清楚相关要素，录入时我司按系统提示选择。</t>
  </si>
  <si>
    <t>境内货源地</t>
  </si>
  <si>
    <t>1，境内货源地填报出口货物在国内的产地或原始发货地。2，需要每一项货物填写。</t>
  </si>
  <si>
    <t>每一项货物需与退税所开增值税专用发票单位的地区一致。</t>
  </si>
  <si>
    <t>集装箱表体</t>
  </si>
  <si>
    <t>1，拼箱标识=是否一柜多单。2，商品项号关系=该柜装箱明细，3，集装箱货重=VGM数据。</t>
  </si>
  <si>
    <t>最好每柜过磅，提供清晰的装柜明细。</t>
  </si>
  <si>
    <t>产品资质</t>
  </si>
  <si>
    <t>产品所需资质</t>
  </si>
  <si>
    <t>关联进口商检及国标</t>
  </si>
  <si>
    <t>危险货物信息</t>
  </si>
  <si>
    <r>
      <rPr>
        <sz val="12"/>
        <rFont val="宋体"/>
        <charset val="134"/>
      </rPr>
      <t>液体，气体，化工品，一定要有M</t>
    </r>
    <r>
      <rPr>
        <sz val="12"/>
        <rFont val="宋体"/>
        <charset val="134"/>
      </rPr>
      <t>SDS(安全数据单）才可确认填报。</t>
    </r>
  </si>
  <si>
    <t>这个是关务的难点，以后会出现很多海事查验及危险扣留。危险品查询网址：http://www.safeto.cn/shipping.html</t>
  </si>
  <si>
    <t>项目</t>
  </si>
  <si>
    <t>2018年8月实行新的报关单的填制规范，红色为新增的项目</t>
  </si>
  <si>
    <t>境内收发货人</t>
  </si>
  <si>
    <t>填报在海关备案的对外签订并执行进出口贸易合同的中国境内法人、其他组织名称及编码。编码填报18位法人和其他组织统一社会信用代码，没有统一社会信用代码的，填报其在海关的备案编码。</t>
  </si>
  <si>
    <t>进出境关别</t>
  </si>
  <si>
    <t>根据货物实际进出境的口岸海关，填报海关规定的《关区代码表》中相应口岸海关的名称及代码。</t>
  </si>
  <si>
    <t>备案号</t>
  </si>
  <si>
    <t>填报进出口货物收发货人、消费使用单位、生产销售单位在海关办理加工贸易合同备案或征、减、免税审核确认等手续时，海关核发的《加工贸易手册》、海关特殊监管区域和保税监管场所保税账册、《征免税证明》或其他备案审批文件的编号。一份报关单只允许填报一个备案号。</t>
  </si>
  <si>
    <r>
      <rPr>
        <sz val="12"/>
        <color rgb="FFFF0000"/>
        <rFont val="宋体"/>
        <charset val="134"/>
      </rPr>
      <t>非互认国家（地区）AEO企业等其他情形，编码免于填报。</t>
    </r>
    <r>
      <rPr>
        <sz val="12"/>
        <rFont val="宋体"/>
        <charset val="134"/>
      </rPr>
      <t>境外收货人通常指签订并执行出口贸易合同中的买方或合同指定的收货人，境外发货人通常指签订并执行进口贸易合同中的卖方。填报境外收发货人的名称及编码。名称一般填报英文名称，检验检疫要求填报其他外文名称的，在英文名称后填报，以半角括号分隔；对于AEO互认国家（地区）企业的，编码填报AEO编码，填报样式按照海关总署发布的相关公告要求填报（如新加坡AEO企业填报样式为：SG123456789012，韩国AEO企业填报样式为KR1234567，具体见相关公告要求）。</t>
    </r>
  </si>
  <si>
    <t>货物存放地点-进口</t>
  </si>
  <si>
    <r>
      <rPr>
        <sz val="12"/>
        <rFont val="宋体"/>
        <charset val="134"/>
      </rPr>
      <t>填报货物</t>
    </r>
    <r>
      <rPr>
        <b/>
        <sz val="12"/>
        <color indexed="10"/>
        <rFont val="宋体"/>
        <charset val="134"/>
      </rPr>
      <t>进境后</t>
    </r>
    <r>
      <rPr>
        <sz val="12"/>
        <rFont val="宋体"/>
        <charset val="134"/>
      </rPr>
      <t>存放的场所或地点，包括海关监管作业场所、分拨仓库、定点加工厂、隔离检疫场、企业自有仓库等。</t>
    </r>
  </si>
  <si>
    <t>消费使用单位-进口</t>
  </si>
  <si>
    <t>消费使用单位填报已知的进口货物在境内的最终消费、使用单位的名称，包括：1．自行进口货物的单位。2．委托进出口企业进口货物的单位。</t>
  </si>
  <si>
    <t>生产销售单位-出口</t>
  </si>
  <si>
    <t>生产销售单位填报出口货物在境内的生产或销售单位的名称，包括：1．自行出口货物的单位。2．委托进出口企业出口货物的单位。</t>
  </si>
  <si>
    <t>许可证号</t>
  </si>
  <si>
    <t>填报进（出）口许可证、两用物项和技术进（出）口许可证、两用物项和技术出口许可证（定向）、纺织品临时出口许可证、出口许可证（加工贸易）、出口许可证（边境小额贸易）的编号。一份报关单只允许填报一个许可证号。</t>
  </si>
  <si>
    <t>启运港-进口</t>
  </si>
  <si>
    <r>
      <rPr>
        <sz val="12"/>
        <rFont val="宋体"/>
        <charset val="134"/>
      </rPr>
      <t>填报进口货物在运抵我国关境前的</t>
    </r>
    <r>
      <rPr>
        <sz val="12"/>
        <color indexed="10"/>
        <rFont val="宋体"/>
        <charset val="134"/>
      </rPr>
      <t>第一个境外</t>
    </r>
    <r>
      <rPr>
        <sz val="12"/>
        <rFont val="宋体"/>
        <charset val="134"/>
      </rPr>
      <t>装运港。</t>
    </r>
  </si>
  <si>
    <t>合同协议号</t>
  </si>
  <si>
    <t>填报进出口货物合同（包括协议或订单）编号。未发生商业性交易的免予填报。</t>
  </si>
  <si>
    <t>贸易国(地区)</t>
  </si>
  <si>
    <r>
      <rPr>
        <sz val="12"/>
        <rFont val="宋体"/>
        <charset val="134"/>
      </rPr>
      <t>发生商业性交易的</t>
    </r>
    <r>
      <rPr>
        <sz val="12"/>
        <color indexed="10"/>
        <rFont val="宋体"/>
        <charset val="134"/>
      </rPr>
      <t>进口填报购自国</t>
    </r>
    <r>
      <rPr>
        <sz val="12"/>
        <rFont val="宋体"/>
        <charset val="134"/>
      </rPr>
      <t>（地区），</t>
    </r>
    <r>
      <rPr>
        <sz val="12"/>
        <color indexed="10"/>
        <rFont val="宋体"/>
        <charset val="134"/>
      </rPr>
      <t>出口填报售予国</t>
    </r>
    <r>
      <rPr>
        <sz val="12"/>
        <rFont val="宋体"/>
        <charset val="134"/>
      </rPr>
      <t>（地区）。未发生商业性交易的填报货物所有权拥有者所属的国家（地区）。</t>
    </r>
  </si>
  <si>
    <t>启运国(地区)-进口</t>
  </si>
  <si>
    <t>启运国（地区）填报进口货物启始发出直接运抵我国或者在运输中转国（地）未发生任何商业性交易的情况下运抵我国的国家（地区）。经过第三国（地区）转运的进出口货物，如在中转国（地区）发生商业性交易，则以中转国（地区）作为启运/运抵国（地区）。</t>
  </si>
  <si>
    <t>运抵国(地区)-出口</t>
  </si>
  <si>
    <t>运抵国（地区）填报出口货物离开我国关境直接运抵或者在运输中转国（地区）未发生任何商业性交易的情况下最后运抵的国家（地区）。经过第三国（地区）转运的进出口货物，如在中转国（地区）发生商业性交易，则以中转国（地区）作为启运/运抵国（地区）。</t>
  </si>
  <si>
    <t>经停港-进口</t>
  </si>
  <si>
    <r>
      <rPr>
        <sz val="12"/>
        <rFont val="宋体"/>
        <charset val="134"/>
      </rPr>
      <t>经停港填报进口货物在运抵我国关境前的</t>
    </r>
    <r>
      <rPr>
        <sz val="12"/>
        <color indexed="10"/>
        <rFont val="宋体"/>
        <charset val="134"/>
      </rPr>
      <t>最后一个境外装运港。</t>
    </r>
  </si>
  <si>
    <t>指运港-出口</t>
  </si>
  <si>
    <r>
      <rPr>
        <sz val="12"/>
        <rFont val="宋体"/>
        <charset val="134"/>
      </rPr>
      <t>指运港填报出口货物</t>
    </r>
    <r>
      <rPr>
        <sz val="12"/>
        <color indexed="10"/>
        <rFont val="宋体"/>
        <charset val="134"/>
      </rPr>
      <t>运往境外的最终目的港</t>
    </r>
    <r>
      <rPr>
        <sz val="12"/>
        <rFont val="宋体"/>
        <charset val="134"/>
      </rPr>
      <t>；最终目的港不可预知的，按尽可能预知的目的港填报。</t>
    </r>
  </si>
  <si>
    <t>入境口岸-进口</t>
  </si>
  <si>
    <t>入境口岸填报进境货物从跨境运输工具卸离的第一个境内口岸的中文名称及代码；采取多式联运跨境运输的，填报多式联运货物最终卸离的境内口岸中文名称及代码；过境货物填报货物进入境内的第一个口岸的中文名称及代码；从海关特殊监管区域或保税监管场所进境的，填报海关特殊监管区域或保税监管场所的中文名称及代码。其他无实际进境的货物，填报货物所在地的城市名称及代码。按海关规定的《国内口岸编码表》选择填报相应的境内口岸名称及代码。</t>
  </si>
  <si>
    <t>离境口岸-出口</t>
  </si>
  <si>
    <t>出境口岸填报装运出境货物的跨境运输工具离境的第一个境内口岸的中文名称及代码；采取多式联运跨境运输的，填报多式联运货物最初离境的境内口岸中文名称及代码；过境货物填报货物离境的第一个境内口岸的中文名称及代码；从海关特殊监管区域或保税监管场所出境的，填报海关特殊监管区域或保税监管场所的中文名称及代码。其他无实际出境的货物，填报货物所在地的城市名称及代码。按海关规定的《国内口岸编码表》选择填报相应的境内口岸名称及代码。</t>
  </si>
  <si>
    <t>包装种类</t>
  </si>
  <si>
    <t>填报进出口货物的所有包装材料，包括运输包装和其他包装，按海关规定的《包装种类代码表》选择填报相应的包装种类名称及代码。运输包装指提运单所列货物件数单位对应的包装，其他包装包括货物的各类包装，以及植物性铺垫材料等。</t>
  </si>
  <si>
    <t>件数</t>
  </si>
  <si>
    <t>填报进出口货物运输包装的件数（按运输包装计）。特殊情况填报要求如下：1.舱单件数为集装箱的，填报集装箱个数。2.舱单件数为托盘的，填报托盘数。不得填报为零，裸装货物填报为“1”。</t>
  </si>
  <si>
    <t>毛重（千克）</t>
  </si>
  <si>
    <t>填报进出口货物及其包装材料的重量之和，计量单位为千克，不足一千克的填报为“1”。</t>
  </si>
  <si>
    <t>净重（千克）</t>
  </si>
  <si>
    <t>填报进出口货物的毛重减去外包装材料后的重量，即货物本身的实际重量，计量单位为千克，不足一千克的填报为“1”。</t>
  </si>
  <si>
    <t>成交方式</t>
  </si>
  <si>
    <t>根据进出口货物实际成交价格条款，按海关规定的《成交方式代码表》选择填报相应的成交方式代码。无实际进出境的货物，进口填报CIF，出口填报FOB。 常见的成交方式有三种，FOB（成本）  CFR（成本+运费）CIF（成本+运费+保费） 。成交方式写错了，会导致生产企业多退税，或者少退税。会导致外贸企业换汇成本差异。</t>
  </si>
  <si>
    <t>运费</t>
  </si>
  <si>
    <t>填报进口货物运抵我国境内输入地点起卸前的运输费用，出口货物运至我国境内输出地点装载后的运输费用。运费可按运费单价、总价或运费率三种方式之一填报，注明运费标记（运费标记“1”表示运费率，“2”表示每吨货物的运费单价，“3”表示运费总价），并按海关规定的《货币代码表》选择填报相应的币种代码。</t>
  </si>
  <si>
    <t>保费</t>
  </si>
  <si>
    <t>填报进口货物运抵我国境内输入地点起卸前的保险费用，出口货物运至我国境内输出地点装载后的保险费用。保费可按保险费总价或保险费率两种方式之一填报，注明保险费标记（保险费标记“1”表示保险费率，“3”表示保险费总价），并按海关规定的《货币代码表》选择填报相应的币种代码。</t>
  </si>
  <si>
    <t>杂费</t>
  </si>
  <si>
    <t>填报成交价格以外的、按照《中华人民共和国进出口关税条例》相关规定应计入完税价格或应从完税价格中扣除的费用。可按杂费总价或杂费率两种方式之一填报，注明杂费标记（杂费标记“1”表示杂费率，“3”表示杂费总价），并按海关规定的《货币代码表》选择填报相应的币种代码。应计入完税价格的杂费填报为正值或正率，应从完税价格中扣除的杂费填报为负值或负率。</t>
  </si>
  <si>
    <t>随附单证及编号</t>
  </si>
  <si>
    <t>根据海关规定的《监管证件代码表》和《随附单据代码表》选择填报除本规范第十六条规定的许可证件以外的其他进出口许可证件或监管证件、随附单据代码及编号。本栏目分为随附单证代码和随附单证编号两栏，其中代码栏按海关规定的《监管证件代码表》和《随附单据代码表》选择填报相应证件代码；随附单证编号栏填报证件编号。</t>
  </si>
  <si>
    <t>标记唛码及备注</t>
  </si>
  <si>
    <t>（三）与本报关单有关联关系的，同时在业务管理规范方面又要求填报的备案号，填报在电子数据报关单中“关联备案”栏。（二十六）集装箱体信息填报集装箱号（在集装箱箱体上标示的全球唯一编号）、集装箱规格、集装箱商品项号关系（单个集装箱对应的商品项号，半角逗号分隔）、集装箱货重（集装箱箱体自重+装载货物重量，千克）。</t>
  </si>
  <si>
    <t>项号</t>
  </si>
  <si>
    <t>分两行填报。第一行填报报关单中的商品顺序编号；第二行填报“备案序号”，专用于加工贸易及保税、减免税等已备案、审批的货物，填报该项货物在《加工贸易手册》或《征免税证明》等备案、审批单证中的顺序编号。有关优惠贸易协定项下报关单填制要求按照海关总署相关规定执行。</t>
  </si>
  <si>
    <t>HS 商品编号</t>
  </si>
  <si>
    <r>
      <rPr>
        <sz val="14"/>
        <color rgb="FFFF0000"/>
        <rFont val="宋体"/>
        <charset val="134"/>
      </rPr>
      <t>填报由13位数字组成的商品编号。</t>
    </r>
    <r>
      <rPr>
        <sz val="14"/>
        <rFont val="宋体"/>
        <charset val="134"/>
      </rPr>
      <t>前8位为《中华人民共和国进出口税则》和《中华人民共和国海关统计商品目录》确定的编码；9、10位为监管附加编号，</t>
    </r>
    <r>
      <rPr>
        <sz val="14"/>
        <color rgb="FFFF0000"/>
        <rFont val="宋体"/>
        <charset val="134"/>
      </rPr>
      <t>11-13位为检验检疫附加编号。  HS编码还有一种称呼就是货物的身份证。   每个HS编码有不同的进出口货物税率，监管要求和其他条件。                                                                                                    海关编码归类错误后果很严重。 因为海关编码错误会引起相对应的进口报关申报要素不同，甚至影响进口关税率，编码错了海关查验会发现问题，要求改单或者删单重报，不仅会受到海关的处罚，税局也会降级，还要被追回退税款。严重的还要承担刑事责任。                                                                                                                                             根据《海关行政处罚实施条例》的相关规定:影响海关统计准确性的，予以警告或者处1000元以上1万元以下罚款;影响海关监管秩序的，予以警告或者处1000元以上3万元以下罚款;影响国家许可证件管理的，处货物价值5%以上30%以下罚款;影响国家税款征收的，处漏缴税款30%以上2倍以下罚款。</t>
    </r>
  </si>
  <si>
    <t>商品名称及规格型号</t>
  </si>
  <si>
    <t>分两行填报。第一行填报进出口货物规范的中文商品名称，第二行填报规格型号。</t>
  </si>
  <si>
    <t>品牌类型</t>
  </si>
  <si>
    <t>品牌类型为必填项目。可选择“无品牌”、“境内自主品牌”、“境内收购品牌”、“境外品牌（贴牌生产）”、“境外品牌（其他）”如实填报。                                                            0.《无品牌》，是指进出口商品或包装上免除任何标志或牌名的情形。                                                                                                                                   1.《境内自主品牌》，是指由境内企业自主开发、拥有自主知识产权的品牌                                                                                                                              2.《境内收购品牌》是指境内企业收购的原境外品牌。                                                                                                                                                   3.《境外品牌(贴牌生产》，是指境内企业代工贴牌生产中使用的境外品牌。                                                                                                                              4.《境外品牌(其他 )》是指除代工贴牌生产以外使用的境外品牌。</t>
  </si>
  <si>
    <t>出口享惠情况</t>
  </si>
  <si>
    <t>出口享惠情况为出口报关单必填项目。可选择“出口货物在最终目的国（地区）不享受优惠关税”、“出口货物在最终目的国（地区）享受优惠关税”、“出口货物不能确定在最终目的国（地区）享受优惠关税”如实填报。进口货物报关单不填报该申报项。</t>
  </si>
  <si>
    <t>数量及单位</t>
  </si>
  <si>
    <r>
      <rPr>
        <sz val="12"/>
        <rFont val="宋体"/>
        <charset val="134"/>
      </rPr>
      <t>分三行填报。</t>
    </r>
    <r>
      <rPr>
        <sz val="12"/>
        <color indexed="10"/>
        <rFont val="宋体"/>
        <charset val="134"/>
      </rPr>
      <t>（三）成交计量单位及数量填报在第三行。</t>
    </r>
    <r>
      <rPr>
        <sz val="12"/>
        <rFont val="宋体"/>
        <charset val="134"/>
      </rPr>
      <t>（一）第一行按进出口货物的法定第一计量单位填报数量及单位，法定计量单位以《中华人民共和国海关统计商品目录》中的计量单位为准。（二）凡列明有法定第二计量单位的，在第二行按照法定第二计量单位填报数量及单位。无法定第二计量单位的，第二行为空。</t>
    </r>
  </si>
  <si>
    <t>单价</t>
  </si>
  <si>
    <r>
      <rPr>
        <sz val="12"/>
        <rFont val="宋体"/>
        <charset val="134"/>
      </rPr>
      <t>填报同一项号下进出口货物实际成交的商品单位价格。</t>
    </r>
    <r>
      <rPr>
        <sz val="12"/>
        <color indexed="10"/>
        <rFont val="宋体"/>
        <charset val="134"/>
      </rPr>
      <t>无实际成交价格的，填报单位货值。</t>
    </r>
  </si>
  <si>
    <t>总价</t>
  </si>
  <si>
    <r>
      <rPr>
        <sz val="12"/>
        <rFont val="宋体"/>
        <charset val="134"/>
      </rPr>
      <t>填报同一项号下进出口货物实际成交的商品总价格。</t>
    </r>
    <r>
      <rPr>
        <sz val="12"/>
        <color indexed="10"/>
        <rFont val="宋体"/>
        <charset val="134"/>
      </rPr>
      <t>无实际成交价格的，填报货值。</t>
    </r>
  </si>
  <si>
    <t>币制</t>
  </si>
  <si>
    <t>按海关规定的《货币代码表》选择相应的货币名称及代码填报，如《货币代码表》中无实际成交币种，需将实际成交货币按申报日外汇折算率折算成《货币代码表》列明的货币填报。</t>
  </si>
  <si>
    <t>原产国（地区）</t>
  </si>
  <si>
    <t>原产国（地区）依据《中华人民共和国进出口货物原产地条例》、《中华人民共和国海关关于执行〈非优惠原产地规则中实质性改变标准〉的规定》以及海关总署关于各项优惠贸易协定原产地管理规章规定的原产地确定标准填报。同一批进出口货物的原产地不同的，分别填报原产国（地区）。进出口货物原产国（地区）无法确定的，填报“国别不详”。</t>
  </si>
  <si>
    <t>最终目的国（地区）</t>
  </si>
  <si>
    <r>
      <rPr>
        <sz val="12"/>
        <rFont val="宋体"/>
        <charset val="134"/>
      </rPr>
      <t>最终目的国（地区）填报</t>
    </r>
    <r>
      <rPr>
        <sz val="12"/>
        <color indexed="10"/>
        <rFont val="宋体"/>
        <charset val="134"/>
      </rPr>
      <t>已知的进出口货物的最终实际消费、使用或进一步加工制造国家（地区）。</t>
    </r>
    <r>
      <rPr>
        <sz val="12"/>
        <rFont val="宋体"/>
        <charset val="134"/>
      </rPr>
      <t>不经过第三国（地区）转运的直接运输货物，以运抵国（地区）为最终目的国（地区）；经过第三国（地区）转运的货物，以最后运往国（地区）为最终目的国（地区）。同一批进出口货物的最终目的国（地区）不同的，分别填报最终目的国（地区）。进出口货物不能确定最终目的国（地区）时，</t>
    </r>
    <r>
      <rPr>
        <sz val="12"/>
        <color indexed="10"/>
        <rFont val="宋体"/>
        <charset val="134"/>
      </rPr>
      <t>以尽可能预知的最后运往国（地区）</t>
    </r>
    <r>
      <rPr>
        <sz val="12"/>
        <rFont val="宋体"/>
        <charset val="134"/>
      </rPr>
      <t>为最终目的国（地区）。</t>
    </r>
  </si>
  <si>
    <t>境内目的地-进口</t>
  </si>
  <si>
    <t>境内目的地填报已知的进口货物在国内的消费、使用地或最终运抵地，其中最终运抵地为最终使用单位所在的地区。最终使用单位难以确定的，填报货物进口时预知的最终收货单位所在地。</t>
  </si>
  <si>
    <t>境内货源地-出口</t>
  </si>
  <si>
    <r>
      <rPr>
        <sz val="12"/>
        <rFont val="宋体"/>
        <charset val="134"/>
      </rPr>
      <t>境内货源地填报出口货物在</t>
    </r>
    <r>
      <rPr>
        <sz val="12"/>
        <color indexed="10"/>
        <rFont val="宋体"/>
        <charset val="134"/>
      </rPr>
      <t>国内的产地或原始发货地</t>
    </r>
    <r>
      <rPr>
        <sz val="12"/>
        <rFont val="宋体"/>
        <charset val="134"/>
      </rPr>
      <t>。出口货物产地难以确定的，填报最早发运该出口货物的单位所在地。</t>
    </r>
  </si>
  <si>
    <t>征免</t>
  </si>
  <si>
    <t>按照海关核发的《征免税证明》或有关政策规定，对报关单所列每项商品选择海关规定的《征减免税方式代码表》中相应的征减免税方式填报。加工贸易货物报关单根据《加工贸易手册》中备案的征免规定填报；《加工贸易手册》中备案的征免规定为“保金”或“保函”的，填报“全免”。</t>
  </si>
  <si>
    <t>特殊关系确认</t>
  </si>
  <si>
    <r>
      <rPr>
        <sz val="12"/>
        <color rgb="FFFF0000"/>
        <rFont val="宋体"/>
        <charset val="134"/>
      </rPr>
      <t>出口货物免予填报</t>
    </r>
    <r>
      <rPr>
        <sz val="12"/>
        <rFont val="宋体"/>
        <charset val="134"/>
      </rPr>
      <t>，加工贸易及保税监管货物（内销保税货物除外）免予填报。根据《中华人民共和国海关审定进出口货物完税价格办法》（以下简称《审价办法》）第十六条，填报确认进出口行为中买卖双方是否存在特殊关系，有下列情形之一的，应当认为买卖双方存在特殊关系，应填报“是”，反之则填报“否”：（一）买卖双方为同一家族成员的。（二）买卖双方互为商业上的高级职员或者董事的。（三）一方直接或者间接地受另一方控制的。（四）买卖双方都直接或者间接地受第三方控制的。（五）买卖双方共同直接或者间接地控制第三方的。（六）一方直接或者间接地拥有、控制或者持有对方5%以上（含5%）公开发行的有表决权的股票或者股份的。（七）一方是另一方的雇员、高级职员或者董事的。（八）买卖双方是同一合伙的成员的。买卖双方在经营上相互有联系，一方是另一方的独家代理、独家经销或者独家受让人，如果符合前款的规定，也应当视为存在特殊关系。</t>
    </r>
  </si>
  <si>
    <t>价格影响确认</t>
  </si>
  <si>
    <r>
      <rPr>
        <sz val="12"/>
        <color rgb="FFFF0000"/>
        <rFont val="宋体"/>
        <charset val="134"/>
      </rPr>
      <t>出口货物免予填报</t>
    </r>
    <r>
      <rPr>
        <sz val="12"/>
        <rFont val="宋体"/>
        <charset val="134"/>
      </rPr>
      <t>，加工贸易及保税监管货物（内销保税货物除外）免予填报。根据《审价办法》第十七条，填报确认纳税义务人是否可以证明特殊关系未对进口货物的成交价格产生影响，纳税义务人能证明其成交价格与同时或者大约同时发生的下列任何一款价格相近的，应视为特殊关系未对成交价格产生影响，填报“否”，反之则填报“是”：（一）向境内无特殊关系的买方出售的相同或者类似进口货物的成交价格。（二）按照《审价办法》第二十三条的规定所确定的相同或者类似进口货物的完税价格。（三）按照《审价办法》第二十五条的规定所确定的相同或者类似进口货物的完税价格。</t>
    </r>
  </si>
  <si>
    <t>支付特许权使用费确认</t>
  </si>
  <si>
    <r>
      <rPr>
        <sz val="12"/>
        <color rgb="FFFF0000"/>
        <rFont val="宋体"/>
        <charset val="134"/>
      </rPr>
      <t>出口货物免予填报</t>
    </r>
    <r>
      <rPr>
        <sz val="12"/>
        <rFont val="宋体"/>
        <charset val="134"/>
      </rPr>
      <t>，加工贸易及保税监管货物（内销保税货物除外）免予填报。根据《审价办法》第十一条和第十三条，填报确认买方是否存在向卖方或者有关方直接或者间接支付与进口货物有关的特许权使用费，且未包括在进口货物的实付、应付价格中。买方存在需向卖方或者有关方直接或者间接支付特许权使用费，且未包含在进口货物实付、应付价格中，并且符合《审价办法》第十三条的，在“支付特许权使用费确认”栏目填报“是”。买方存在需向卖方或者有关方直接或者间接支付特许权使用费，且未包含在进口货物实付、应付价格中，但纳税义务人无法确认是否符合《审价办法》第十三条的，填报“是”。买方存在需向卖方或者有关方直接或者间接支付特许权使用费且未包含在实付、应付价格中，纳税义务人根据《审价办法》第十三条，可以确认需支付的特许权使用费与进口货物无关的，填报“否”。买方不存在向卖方或者有关方直接或者间接支付特许权使用费的，或者特许权使用费已经包含在进口货物实付、应付价格中的，填报“否”。</t>
    </r>
  </si>
  <si>
    <t>自报自缴</t>
  </si>
  <si>
    <t>进出口企业、单位采用“自主申报、自行缴税”（自报自缴）模式向海关申报时，填报“是”；反之则填报“否”。</t>
  </si>
  <si>
    <t>中华人民共和国海关出口货物报关单</t>
  </si>
  <si>
    <t>预录入编号：</t>
  </si>
  <si>
    <t>申报口岸:</t>
  </si>
  <si>
    <t>海关编号:</t>
  </si>
  <si>
    <t>境内发货人</t>
  </si>
  <si>
    <t>*</t>
  </si>
  <si>
    <t>出境关别</t>
  </si>
  <si>
    <t>(    )</t>
  </si>
  <si>
    <t>出口日期</t>
  </si>
  <si>
    <t>申报日期</t>
  </si>
  <si>
    <t>签约地点：</t>
  </si>
  <si>
    <t>深圳</t>
  </si>
  <si>
    <t>深圳市*****有限公司</t>
  </si>
  <si>
    <t>成交方式:</t>
  </si>
  <si>
    <t>SHENZHEN</t>
  </si>
  <si>
    <t>付款条件：</t>
  </si>
  <si>
    <t>电汇</t>
  </si>
  <si>
    <t>境外收货人</t>
  </si>
  <si>
    <t>AEO：</t>
  </si>
  <si>
    <t>运输方式</t>
  </si>
  <si>
    <t>运输工具名称及航次号</t>
  </si>
  <si>
    <t>提运单号</t>
  </si>
  <si>
    <t>卖方公司：</t>
  </si>
  <si>
    <t>GOODS-LUCK INT'L LOGISTICS(HK) CO.,LTD</t>
  </si>
  <si>
    <t>卖方地址：</t>
  </si>
  <si>
    <t>生产销售单位</t>
  </si>
  <si>
    <t>监管方式</t>
  </si>
  <si>
    <t>征免性质</t>
  </si>
  <si>
    <t>卖方电话：</t>
  </si>
  <si>
    <t>0755-123456789</t>
  </si>
  <si>
    <t>卖方传真：</t>
  </si>
  <si>
    <t>一般贸易</t>
  </si>
  <si>
    <t>一般征税</t>
  </si>
  <si>
    <t>买方公司：</t>
  </si>
  <si>
    <t>运抵国(地区)</t>
  </si>
  <si>
    <t>指运港</t>
  </si>
  <si>
    <t>离境口岸</t>
  </si>
  <si>
    <t>买方地址：</t>
  </si>
  <si>
    <t>UNIT 04,7/F BRIGHT WAY TOWER NO 33 MONG KOK RD KL,HK</t>
  </si>
  <si>
    <t>SY070315151589</t>
  </si>
  <si>
    <t>盐田</t>
  </si>
  <si>
    <t>买方电话：</t>
  </si>
  <si>
    <t>(0852)123456789</t>
  </si>
  <si>
    <t>买方传真：</t>
  </si>
  <si>
    <t>(  )</t>
  </si>
  <si>
    <t>报关简称：</t>
  </si>
  <si>
    <t>报关全称：</t>
  </si>
  <si>
    <t>纸箱</t>
  </si>
  <si>
    <t>FOB</t>
  </si>
  <si>
    <t>境外收货人：</t>
  </si>
  <si>
    <t>境外收货人通常指签订并执行出口贸易合同中的买方或合同指定的收货人，名称一般填报英文名称，检验检疫要求填报其他外文名称的，在英文名称后填报，以半角括号分隔。</t>
  </si>
  <si>
    <t>境外收货人代码：</t>
  </si>
  <si>
    <t>非互认国家（地区）AEO企业等其他情形，编码免于填报。对于AEO互认国家（地区）企业的，编码填报AEO编码，填报样式按照海关总署发布的相关公告要求填报（如新加坡AEO企业填报样式为：SG123456789012，韩国AEO企业填报样式为KR1234567，具体见相关公告要求）。</t>
  </si>
  <si>
    <t>检验检疫附加编号：</t>
  </si>
  <si>
    <t>通过以下网站输入10位HS编号，再根据申报要素细分确定3位检疫附加编号</t>
  </si>
  <si>
    <t>标记唛码及备注：</t>
  </si>
  <si>
    <t>海关HS编码查询：</t>
  </si>
  <si>
    <t>https://e-service.shciq.gov.cn/shesp/</t>
  </si>
  <si>
    <t>备注：</t>
  </si>
  <si>
    <t>查申报要素网址：</t>
  </si>
  <si>
    <t>http://www.hscode.net/IntegrateQueries/QueryYS/</t>
  </si>
  <si>
    <t>报关联系电话：</t>
  </si>
  <si>
    <t>合计：</t>
  </si>
  <si>
    <r>
      <rPr>
        <sz val="10"/>
        <color rgb="FFFF0000"/>
        <rFont val="宋体"/>
        <charset val="134"/>
      </rPr>
      <t>贸易国：</t>
    </r>
    <r>
      <rPr>
        <sz val="10"/>
        <rFont val="宋体"/>
        <charset val="134"/>
      </rPr>
      <t>出口是指</t>
    </r>
    <r>
      <rPr>
        <sz val="10"/>
        <color indexed="10"/>
        <rFont val="宋体"/>
        <charset val="134"/>
      </rPr>
      <t>合同买方所在的国家</t>
    </r>
    <r>
      <rPr>
        <sz val="10"/>
        <rFont val="宋体"/>
        <charset val="134"/>
      </rPr>
      <t>（地区），需填写准确，以后可能会影响收汇。</t>
    </r>
  </si>
  <si>
    <t>特殊关系确认:</t>
  </si>
  <si>
    <t>价格影响确认：</t>
  </si>
  <si>
    <t>支付特许权使用费:</t>
  </si>
  <si>
    <t>自报自缴:</t>
  </si>
  <si>
    <t>出口不填</t>
  </si>
  <si>
    <t>原产国/目的国/货源地未注明的项默认与提供的项相同</t>
  </si>
  <si>
    <t>商品编号</t>
  </si>
  <si>
    <t>单价/总价/币制</t>
  </si>
  <si>
    <t>净重</t>
  </si>
  <si>
    <t>毛重</t>
  </si>
  <si>
    <t>移动电源</t>
  </si>
  <si>
    <t>中国</t>
  </si>
  <si>
    <t>香港</t>
  </si>
  <si>
    <t>深圳特区</t>
  </si>
  <si>
    <t>照章征税</t>
  </si>
  <si>
    <t>0|0|手机充电等用|锂离子制|无牌|无型号|6000MAH|不含汞|5V</t>
  </si>
  <si>
    <t>千克</t>
  </si>
  <si>
    <t>个</t>
  </si>
  <si>
    <t>美元</t>
  </si>
  <si>
    <t>表格制作单位：深圳市长来运报关有限公司QQ1152276688</t>
  </si>
  <si>
    <t>(产品或者包装上有明显的logo，带R，TM标识的商标必须申报为品牌，有显示型号（model，type no.）的必须申报为型号)(申报的牌子型号要在产品或包装上有一模一样显示，海关查货的话会去比对拍照，对不上会升级整车查验和压车改单）</t>
  </si>
  <si>
    <t>(申报的牌子型号要在产品或包装上有一模一样显示，海关查货的话会去比对拍照，对不上会升级整车查验和压车改单）</t>
  </si>
  <si>
    <t>检验检疫附加编号：通过以下网站输入10位HS编号，再根据申报要素细分确定3位检疫附加编号</t>
  </si>
  <si>
    <t>申报要素查询网址：</t>
  </si>
  <si>
    <t>申报要素</t>
  </si>
  <si>
    <t>序号</t>
  </si>
  <si>
    <t>品名</t>
  </si>
  <si>
    <t>海关HS编码</t>
  </si>
  <si>
    <t>检疫附加码</t>
  </si>
  <si>
    <t>品牌</t>
  </si>
  <si>
    <t>型号</t>
  </si>
  <si>
    <t>其他申报要素</t>
  </si>
  <si>
    <t>0无品牌</t>
  </si>
  <si>
    <t>0不享惠</t>
  </si>
  <si>
    <t>1境内自主</t>
  </si>
  <si>
    <t>1享惠</t>
  </si>
  <si>
    <t>2境内收购</t>
  </si>
  <si>
    <t>2不确定享惠</t>
  </si>
  <si>
    <t>3境外贴牌</t>
  </si>
  <si>
    <t>4境外其他</t>
  </si>
  <si>
    <t>發票
INVOICE</t>
  </si>
  <si>
    <t>編   號
NO:</t>
  </si>
  <si>
    <t>商  號
Sold to Massrs:</t>
  </si>
  <si>
    <t>日  期
DATE:</t>
  </si>
  <si>
    <t>成交方式：</t>
  </si>
  <si>
    <t>標記號碼
Mark &amp; No</t>
  </si>
  <si>
    <t>貨物名稱
Description</t>
  </si>
  <si>
    <t>數量
Quantity</t>
  </si>
  <si>
    <t>單價
Unit price</t>
  </si>
  <si>
    <t>總金額
Amount</t>
  </si>
  <si>
    <t xml:space="preserve">
N/M</t>
  </si>
  <si>
    <t>TOTAL:</t>
  </si>
  <si>
    <t>唛头
Marks</t>
  </si>
  <si>
    <t>.</t>
  </si>
  <si>
    <t xml:space="preserve">  装  箱  单
  PACKING LIST</t>
  </si>
  <si>
    <r>
      <rPr>
        <sz val="12"/>
        <rFont val="宋体"/>
        <charset val="134"/>
      </rPr>
      <t>日期</t>
    </r>
    <r>
      <rPr>
        <sz val="12"/>
        <rFont val="Times New Roman"/>
        <charset val="134"/>
      </rPr>
      <t xml:space="preserve">
Date</t>
    </r>
    <r>
      <rPr>
        <sz val="12"/>
        <rFont val="宋体"/>
        <charset val="134"/>
      </rPr>
      <t>：</t>
    </r>
  </si>
  <si>
    <r>
      <rPr>
        <sz val="12"/>
        <rFont val="宋体"/>
        <charset val="134"/>
      </rPr>
      <t>发票编号</t>
    </r>
    <r>
      <rPr>
        <sz val="12"/>
        <rFont val="Times New Roman"/>
        <charset val="134"/>
      </rPr>
      <t xml:space="preserve">
Invoice No:</t>
    </r>
  </si>
  <si>
    <r>
      <rPr>
        <sz val="12"/>
        <rFont val="宋体"/>
        <charset val="134"/>
      </rPr>
      <t>客户</t>
    </r>
    <r>
      <rPr>
        <sz val="11"/>
        <rFont val="宋体"/>
        <charset val="134"/>
      </rPr>
      <t xml:space="preserve">
To Messrs:</t>
    </r>
  </si>
  <si>
    <r>
      <rPr>
        <sz val="12"/>
        <rFont val="宋体"/>
        <charset val="134"/>
      </rPr>
      <t>合同号</t>
    </r>
    <r>
      <rPr>
        <sz val="12"/>
        <rFont val="Times New Roman"/>
        <charset val="134"/>
      </rPr>
      <t xml:space="preserve">
Contract No:</t>
    </r>
  </si>
  <si>
    <t xml:space="preserve">
</t>
  </si>
  <si>
    <r>
      <rPr>
        <sz val="12"/>
        <rFont val="宋体"/>
        <charset val="134"/>
      </rPr>
      <t>船名</t>
    </r>
    <r>
      <rPr>
        <sz val="12"/>
        <rFont val="Times New Roman"/>
        <charset val="134"/>
      </rPr>
      <t xml:space="preserve">
Shipped by</t>
    </r>
    <r>
      <rPr>
        <sz val="12"/>
        <rFont val="宋体"/>
        <charset val="134"/>
      </rPr>
      <t>：</t>
    </r>
  </si>
  <si>
    <t>由  深圳  至</t>
  </si>
  <si>
    <r>
      <rPr>
        <sz val="12"/>
        <rFont val="宋体"/>
        <charset val="134"/>
      </rPr>
      <t>付款条件</t>
    </r>
    <r>
      <rPr>
        <sz val="9"/>
        <rFont val="宋体"/>
        <charset val="134"/>
      </rPr>
      <t xml:space="preserve">
Terms of Payment:</t>
    </r>
  </si>
  <si>
    <t>箱号
Ctn.No.</t>
  </si>
  <si>
    <t>货物名称及规格
Description</t>
  </si>
  <si>
    <t>箱数：
Pkg：</t>
  </si>
  <si>
    <t>数量：
Ge.Quantity</t>
  </si>
  <si>
    <t>毛重(KG)：
G.W.(KG):</t>
  </si>
  <si>
    <t>净重(KG)：
N.W.(KG):</t>
  </si>
  <si>
    <t>合计
Total</t>
  </si>
  <si>
    <r>
      <rPr>
        <b/>
        <sz val="24"/>
        <rFont val="宋体"/>
        <charset val="134"/>
      </rPr>
      <t>合</t>
    </r>
    <r>
      <rPr>
        <b/>
        <sz val="24"/>
        <rFont val="Times New Roman"/>
        <charset val="134"/>
      </rPr>
      <t xml:space="preserve">       </t>
    </r>
    <r>
      <rPr>
        <b/>
        <sz val="24"/>
        <rFont val="宋体"/>
        <charset val="134"/>
      </rPr>
      <t>同</t>
    </r>
    <r>
      <rPr>
        <b/>
        <sz val="22"/>
        <rFont val="宋体"/>
        <charset val="134"/>
      </rPr>
      <t xml:space="preserve">
</t>
    </r>
    <r>
      <rPr>
        <b/>
        <u/>
        <sz val="22"/>
        <rFont val="宋体"/>
        <charset val="134"/>
      </rPr>
      <t xml:space="preserve">SALES </t>
    </r>
    <r>
      <rPr>
        <u/>
        <sz val="20"/>
        <rFont val="Times New Roman"/>
        <charset val="134"/>
      </rPr>
      <t>CONTRACT</t>
    </r>
  </si>
  <si>
    <r>
      <rPr>
        <sz val="11"/>
        <rFont val="Times New Roman"/>
        <charset val="134"/>
      </rPr>
      <t xml:space="preserve">       </t>
    </r>
    <r>
      <rPr>
        <sz val="11"/>
        <rFont val="宋体"/>
        <charset val="134"/>
      </rPr>
      <t>卖</t>
    </r>
    <r>
      <rPr>
        <sz val="11"/>
        <rFont val="Times New Roman"/>
        <charset val="134"/>
      </rPr>
      <t xml:space="preserve">    </t>
    </r>
    <r>
      <rPr>
        <sz val="11"/>
        <rFont val="宋体"/>
        <charset val="134"/>
      </rPr>
      <t>方：</t>
    </r>
  </si>
  <si>
    <t xml:space="preserve">    Sellers:</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</si>
  <si>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</si>
  <si>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Address:  </t>
  </si>
  <si>
    <r>
      <rPr>
        <sz val="11"/>
        <rFont val="Times New Roman"/>
        <charset val="134"/>
      </rPr>
      <t xml:space="preserve">    </t>
    </r>
    <r>
      <rPr>
        <sz val="11"/>
        <rFont val="宋体"/>
        <charset val="134"/>
      </rPr>
      <t>合同号码</t>
    </r>
  </si>
  <si>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</si>
  <si>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t>传  真</t>
  </si>
  <si>
    <t xml:space="preserve">  Contract No:</t>
  </si>
  <si>
    <t xml:space="preserve">    TEL:</t>
  </si>
  <si>
    <t>FAX:</t>
  </si>
  <si>
    <r>
      <rPr>
        <sz val="11"/>
        <rFont val="Times New Roman"/>
        <charset val="134"/>
      </rPr>
      <t xml:space="preserve">    </t>
    </r>
    <r>
      <rPr>
        <sz val="11"/>
        <rFont val="宋体"/>
        <charset val="134"/>
      </rPr>
      <t>日</t>
    </r>
    <r>
      <rPr>
        <sz val="11"/>
        <rFont val="Times New Roman"/>
        <charset val="134"/>
      </rPr>
      <t xml:space="preserve">     </t>
    </r>
    <r>
      <rPr>
        <sz val="11"/>
        <rFont val="宋体"/>
        <charset val="134"/>
      </rPr>
      <t>期</t>
    </r>
  </si>
  <si>
    <r>
      <rPr>
        <sz val="11"/>
        <rFont val="宋体"/>
        <charset val="134"/>
      </rPr>
      <t xml:space="preserve">  买</t>
    </r>
    <r>
      <rPr>
        <sz val="11"/>
        <rFont val="Times New Roman"/>
        <charset val="134"/>
      </rPr>
      <t xml:space="preserve">  </t>
    </r>
    <r>
      <rPr>
        <sz val="11"/>
        <rFont val="宋体"/>
        <charset val="134"/>
      </rPr>
      <t>方：</t>
    </r>
  </si>
  <si>
    <t xml:space="preserve">    Date:</t>
  </si>
  <si>
    <r>
      <rPr>
        <sz val="11"/>
        <rFont val="Times New Roman"/>
        <charset val="134"/>
      </rPr>
      <t xml:space="preserve">  Buyers</t>
    </r>
    <r>
      <rPr>
        <sz val="11"/>
        <rFont val="宋体"/>
        <charset val="134"/>
      </rPr>
      <t>：</t>
    </r>
  </si>
  <si>
    <t>签约地点</t>
  </si>
  <si>
    <r>
      <rPr>
        <sz val="11"/>
        <rFont val="Times New Roman"/>
        <charset val="134"/>
      </rPr>
      <t xml:space="preserve">  </t>
    </r>
    <r>
      <rPr>
        <sz val="11"/>
        <rFont val="宋体"/>
        <charset val="134"/>
      </rPr>
      <t>地</t>
    </r>
    <r>
      <rPr>
        <sz val="11"/>
        <rFont val="Times New Roman"/>
        <charset val="134"/>
      </rPr>
      <t xml:space="preserve">   </t>
    </r>
    <r>
      <rPr>
        <sz val="11"/>
        <rFont val="宋体"/>
        <charset val="134"/>
      </rPr>
      <t>址：</t>
    </r>
  </si>
  <si>
    <t xml:space="preserve">  Signed at:</t>
  </si>
  <si>
    <t>Address:</t>
  </si>
  <si>
    <t>成交方式：
Trade Term:</t>
  </si>
  <si>
    <r>
      <rPr>
        <sz val="11"/>
        <rFont val="Times New Roman"/>
        <charset val="134"/>
      </rPr>
      <t xml:space="preserve"> </t>
    </r>
    <r>
      <rPr>
        <sz val="11"/>
        <rFont val="宋体"/>
        <charset val="134"/>
      </rPr>
      <t>电</t>
    </r>
    <r>
      <rPr>
        <sz val="11"/>
        <rFont val="Times New Roman"/>
        <charset val="134"/>
      </rPr>
      <t xml:space="preserve">   </t>
    </r>
    <r>
      <rPr>
        <sz val="11"/>
        <rFont val="宋体"/>
        <charset val="134"/>
      </rPr>
      <t>话</t>
    </r>
    <r>
      <rPr>
        <sz val="11"/>
        <rFont val="Times New Roman"/>
        <charset val="134"/>
      </rPr>
      <t xml:space="preserve"> </t>
    </r>
  </si>
  <si>
    <r>
      <rPr>
        <sz val="10"/>
        <rFont val="Times New Roman"/>
        <charset val="134"/>
      </rPr>
      <t xml:space="preserve">  </t>
    </r>
    <r>
      <rPr>
        <sz val="10"/>
        <rFont val="宋体"/>
        <charset val="134"/>
      </rPr>
      <t>传</t>
    </r>
    <r>
      <rPr>
        <sz val="10"/>
        <rFont val="Times New Roman"/>
        <charset val="134"/>
      </rPr>
      <t xml:space="preserve">  </t>
    </r>
    <r>
      <rPr>
        <sz val="10"/>
        <rFont val="宋体"/>
        <charset val="134"/>
      </rPr>
      <t>真</t>
    </r>
    <r>
      <rPr>
        <sz val="10"/>
        <rFont val="Times New Roman"/>
        <charset val="134"/>
      </rPr>
      <t xml:space="preserve">  </t>
    </r>
  </si>
  <si>
    <t xml:space="preserve"> TEL:</t>
  </si>
  <si>
    <t>经买卖双方确认根据下列条款订立本合同</t>
  </si>
  <si>
    <t>This contract is made out by the Sellers and Buyers as per the following terms and conditions mutuilly confirmed:</t>
  </si>
  <si>
    <r>
      <rPr>
        <sz val="11"/>
        <rFont val="Times New Roman"/>
        <charset val="134"/>
      </rPr>
      <t>(1)</t>
    </r>
    <r>
      <rPr>
        <sz val="11"/>
        <rFont val="宋体"/>
        <charset val="134"/>
      </rPr>
      <t>货物名称</t>
    </r>
  </si>
  <si>
    <r>
      <rPr>
        <sz val="11"/>
        <rFont val="Times New Roman"/>
        <charset val="134"/>
      </rPr>
      <t xml:space="preserve">(2) </t>
    </r>
    <r>
      <rPr>
        <sz val="11"/>
        <rFont val="宋体"/>
        <charset val="134"/>
      </rPr>
      <t>数</t>
    </r>
    <r>
      <rPr>
        <sz val="11"/>
        <rFont val="Times New Roman"/>
        <charset val="134"/>
      </rPr>
      <t xml:space="preserve"> </t>
    </r>
    <r>
      <rPr>
        <sz val="11"/>
        <rFont val="宋体"/>
        <charset val="134"/>
      </rPr>
      <t>量</t>
    </r>
  </si>
  <si>
    <r>
      <rPr>
        <sz val="11"/>
        <rFont val="Times New Roman"/>
        <charset val="134"/>
      </rPr>
      <t>(3)</t>
    </r>
    <r>
      <rPr>
        <sz val="11"/>
        <rFont val="宋体"/>
        <charset val="134"/>
      </rPr>
      <t>单</t>
    </r>
    <r>
      <rPr>
        <sz val="11"/>
        <rFont val="Times New Roman"/>
        <charset val="134"/>
      </rPr>
      <t xml:space="preserve"> </t>
    </r>
    <r>
      <rPr>
        <sz val="11"/>
        <rFont val="宋体"/>
        <charset val="134"/>
      </rPr>
      <t>位</t>
    </r>
  </si>
  <si>
    <r>
      <rPr>
        <sz val="11"/>
        <rFont val="Times New Roman"/>
        <charset val="134"/>
      </rPr>
      <t>(4)</t>
    </r>
    <r>
      <rPr>
        <sz val="11"/>
        <rFont val="宋体"/>
        <charset val="134"/>
      </rPr>
      <t>单价</t>
    </r>
  </si>
  <si>
    <r>
      <rPr>
        <sz val="11"/>
        <rFont val="Times New Roman"/>
        <charset val="134"/>
      </rPr>
      <t xml:space="preserve"> (5)   </t>
    </r>
    <r>
      <rPr>
        <sz val="11"/>
        <rFont val="宋体"/>
        <charset val="134"/>
      </rPr>
      <t>金</t>
    </r>
    <r>
      <rPr>
        <sz val="11"/>
        <rFont val="Times New Roman"/>
        <charset val="134"/>
      </rPr>
      <t xml:space="preserve">  </t>
    </r>
    <r>
      <rPr>
        <sz val="11"/>
        <rFont val="宋体"/>
        <charset val="134"/>
      </rPr>
      <t>额</t>
    </r>
  </si>
  <si>
    <t xml:space="preserve">Name of commodity </t>
  </si>
  <si>
    <t>Quantity</t>
  </si>
  <si>
    <t>Unit</t>
  </si>
  <si>
    <t>Unit Price</t>
  </si>
  <si>
    <t>Amount</t>
  </si>
  <si>
    <r>
      <rPr>
        <sz val="10"/>
        <rFont val="宋体"/>
        <charset val="134"/>
      </rPr>
      <t>数量及总值允许有</t>
    </r>
    <r>
      <rPr>
        <sz val="10"/>
        <rFont val="Times New Roman"/>
        <charset val="134"/>
      </rPr>
      <t xml:space="preserve"> 2 %</t>
    </r>
    <r>
      <rPr>
        <sz val="10"/>
        <rFont val="宋体"/>
        <charset val="134"/>
      </rPr>
      <t>的增减。</t>
    </r>
  </si>
  <si>
    <r>
      <rPr>
        <b/>
        <sz val="12"/>
        <rFont val="Times New Roman"/>
        <charset val="134"/>
      </rPr>
      <t xml:space="preserve">   </t>
    </r>
    <r>
      <rPr>
        <b/>
        <sz val="12"/>
        <rFont val="宋体"/>
        <charset val="134"/>
      </rPr>
      <t>总</t>
    </r>
    <r>
      <rPr>
        <b/>
        <sz val="12"/>
        <rFont val="Times New Roman"/>
        <charset val="134"/>
      </rPr>
      <t xml:space="preserve">      </t>
    </r>
    <r>
      <rPr>
        <b/>
        <sz val="12"/>
        <rFont val="宋体"/>
        <charset val="134"/>
      </rPr>
      <t>值</t>
    </r>
  </si>
  <si>
    <t xml:space="preserve">2  % more or less both in amount and quantity allowed.                    </t>
  </si>
  <si>
    <t>Total Amount:</t>
  </si>
  <si>
    <t>(6)合同总值（大写）</t>
  </si>
  <si>
    <t xml:space="preserve">Total Value in Word:  FORTY TWO THOUSAND FOUR HUNDRED AND SEVENTY THREE AND CENTS TWENTY EIGHT ONLY. </t>
  </si>
  <si>
    <r>
      <rPr>
        <sz val="12"/>
        <rFont val="Times New Roman"/>
        <charset val="134"/>
      </rPr>
      <t>(7)</t>
    </r>
    <r>
      <rPr>
        <sz val="12"/>
        <rFont val="宋体"/>
        <charset val="134"/>
      </rPr>
      <t>包装及唛头</t>
    </r>
  </si>
  <si>
    <r>
      <rPr>
        <sz val="10"/>
        <rFont val="Times New Roman"/>
        <charset val="134"/>
      </rPr>
      <t xml:space="preserve">Packing and shipping Marks:  </t>
    </r>
    <r>
      <rPr>
        <sz val="12"/>
        <rFont val="Times New Roman"/>
        <charset val="134"/>
      </rPr>
      <t xml:space="preserve"> </t>
    </r>
  </si>
  <si>
    <r>
      <rPr>
        <sz val="12"/>
        <rFont val="Times New Roman"/>
        <charset val="134"/>
      </rPr>
      <t>(8)</t>
    </r>
    <r>
      <rPr>
        <sz val="12"/>
        <rFont val="宋体"/>
        <charset val="134"/>
      </rPr>
      <t>装运期</t>
    </r>
  </si>
  <si>
    <t xml:space="preserve">Time of Shipment:    </t>
  </si>
  <si>
    <t>之前</t>
  </si>
  <si>
    <r>
      <rPr>
        <sz val="12"/>
        <rFont val="Times New Roman"/>
        <charset val="134"/>
      </rPr>
      <t>(9)</t>
    </r>
    <r>
      <rPr>
        <sz val="12"/>
        <rFont val="宋体"/>
        <charset val="134"/>
      </rPr>
      <t>装运口岸和目的地</t>
    </r>
    <r>
      <rPr>
        <sz val="12"/>
        <rFont val="Times New Roman"/>
        <charset val="134"/>
      </rPr>
      <t xml:space="preserve">           </t>
    </r>
    <r>
      <rPr>
        <sz val="12"/>
        <rFont val="宋体"/>
        <charset val="134"/>
      </rPr>
      <t>深圳</t>
    </r>
    <r>
      <rPr>
        <sz val="12"/>
        <rFont val="Times New Roman"/>
        <charset val="134"/>
      </rPr>
      <t>---</t>
    </r>
  </si>
  <si>
    <t>准许分批与转船。</t>
  </si>
  <si>
    <t>Loading Port &amp; Destination:From  Shenzhen-- To Hongkong  with transhipment and partial ship ments allowed</t>
  </si>
  <si>
    <t>(10)保险：由买方按发票全部金额110%投保至   为止的    险。按中国海洋运输保险条款为理。</t>
  </si>
  <si>
    <t>Insurance:To be covered by the Buyer  for 110% of full invoice value covering   up  to only,subject to C.I.C.</t>
  </si>
  <si>
    <t xml:space="preserve">(11)付款条件     </t>
  </si>
  <si>
    <t>Terms of Payment</t>
  </si>
  <si>
    <r>
      <rPr>
        <sz val="12"/>
        <rFont val="Times New Roman"/>
        <charset val="134"/>
      </rPr>
      <t>(12)</t>
    </r>
    <r>
      <rPr>
        <sz val="12"/>
        <rFont val="宋体"/>
        <charset val="134"/>
      </rPr>
      <t>装运标记</t>
    </r>
  </si>
  <si>
    <t>Shipping Marks:</t>
  </si>
  <si>
    <r>
      <rPr>
        <sz val="12"/>
        <rFont val="Times New Roman"/>
        <charset val="134"/>
      </rPr>
      <t xml:space="preserve">    </t>
    </r>
    <r>
      <rPr>
        <sz val="12"/>
        <rFont val="宋体"/>
        <charset val="134"/>
      </rPr>
      <t>买</t>
    </r>
    <r>
      <rPr>
        <sz val="12"/>
        <rFont val="Times New Roman"/>
        <charset val="134"/>
      </rPr>
      <t xml:space="preserve">  </t>
    </r>
    <r>
      <rPr>
        <sz val="12"/>
        <rFont val="宋体"/>
        <charset val="134"/>
      </rPr>
      <t>方</t>
    </r>
  </si>
  <si>
    <r>
      <rPr>
        <sz val="12"/>
        <rFont val="Times New Roman"/>
        <charset val="134"/>
      </rPr>
      <t xml:space="preserve">    </t>
    </r>
    <r>
      <rPr>
        <sz val="12"/>
        <rFont val="宋体"/>
        <charset val="134"/>
      </rPr>
      <t>卖</t>
    </r>
    <r>
      <rPr>
        <sz val="12"/>
        <rFont val="Times New Roman"/>
        <charset val="134"/>
      </rPr>
      <t xml:space="preserve">  </t>
    </r>
    <r>
      <rPr>
        <sz val="12"/>
        <rFont val="宋体"/>
        <charset val="134"/>
      </rPr>
      <t>方</t>
    </r>
  </si>
  <si>
    <t>THE BUYERS</t>
  </si>
  <si>
    <r>
      <rPr>
        <sz val="12"/>
        <rFont val="Times New Roman"/>
        <charset val="134"/>
      </rPr>
      <t xml:space="preserve">  </t>
    </r>
    <r>
      <rPr>
        <u/>
        <sz val="12"/>
        <rFont val="Times New Roman"/>
        <charset val="134"/>
      </rPr>
      <t>THE SELLERS</t>
    </r>
  </si>
  <si>
    <t>(Authorized Signature)</t>
  </si>
  <si>
    <t>代 理 报 关 委 托 书</t>
  </si>
  <si>
    <t>编号：□□□□□□□□□□□</t>
  </si>
  <si>
    <r>
      <rPr>
        <sz val="10"/>
        <rFont val="宋体"/>
        <charset val="134"/>
      </rPr>
      <t xml:space="preserve">     我单位现  </t>
    </r>
    <r>
      <rPr>
        <b/>
        <sz val="10"/>
        <rFont val="宋体"/>
        <charset val="134"/>
      </rPr>
      <t>A</t>
    </r>
    <r>
      <rPr>
        <sz val="10"/>
        <rFont val="宋体"/>
        <charset val="134"/>
      </rPr>
      <t xml:space="preserve">   (A逐票、B长期)委托贵公司代理   </t>
    </r>
    <r>
      <rPr>
        <b/>
        <sz val="10"/>
        <rFont val="宋体"/>
        <charset val="134"/>
      </rPr>
      <t>AB</t>
    </r>
    <r>
      <rPr>
        <sz val="10"/>
        <rFont val="宋体"/>
        <charset val="134"/>
      </rPr>
      <t xml:space="preserve">  等通关事宜。（A、填单申报 B、辅助查验 C、</t>
    </r>
  </si>
  <si>
    <t>垫缴税款 D、办理海关证明联 E、审批手册 F、核销手册 G、申办减免税手续 H、其他 ）详见《委托报关协</t>
  </si>
  <si>
    <t>议》。</t>
  </si>
  <si>
    <t xml:space="preserve">    我单位保证遵守《海关法》和国家有关法规，保证所提供的情况真实、完整、单货相符，无侵犯他</t>
  </si>
  <si>
    <t>人知识产权的行为。否则，愿承担相关法律责任。</t>
  </si>
  <si>
    <t xml:space="preserve">    本委托书有效期自签字之日起至     </t>
  </si>
  <si>
    <t xml:space="preserve">    2018 年 12 月 30 日止。</t>
  </si>
  <si>
    <t>委托方（盖章）：</t>
  </si>
  <si>
    <t>法定代表人或其授权签署《代理报关委托书》的人（签字）</t>
  </si>
  <si>
    <t xml:space="preserve">   委 托 报 关 协 议</t>
  </si>
  <si>
    <t>为明确委托报关具体事项和各自责任，双方经平等协商签定协议如下：</t>
  </si>
  <si>
    <t>委托方</t>
  </si>
  <si>
    <t>被委托方</t>
  </si>
  <si>
    <t>主要货物名称</t>
  </si>
  <si>
    <t>*报关单编码</t>
  </si>
  <si>
    <t>HS编码</t>
  </si>
  <si>
    <t>收到单证日期</t>
  </si>
  <si>
    <t>货物总价</t>
  </si>
  <si>
    <t>收到单证情况</t>
  </si>
  <si>
    <t>合同□√</t>
  </si>
  <si>
    <t>发票□√</t>
  </si>
  <si>
    <t>进出口日期</t>
  </si>
  <si>
    <t>装箱清单□√</t>
  </si>
  <si>
    <t>提（运）单□</t>
  </si>
  <si>
    <t>提单号</t>
  </si>
  <si>
    <t>加工贸易手册□</t>
  </si>
  <si>
    <t>许可证件□</t>
  </si>
  <si>
    <t>贸易方式</t>
  </si>
  <si>
    <t xml:space="preserve">  其他</t>
  </si>
  <si>
    <t>原产地/货源地</t>
  </si>
  <si>
    <t>报关收费</t>
  </si>
  <si>
    <t xml:space="preserve">  人民币：       元</t>
  </si>
  <si>
    <t>其他要求：</t>
  </si>
  <si>
    <t>承诺说明：</t>
  </si>
  <si>
    <t>背面所列通用条款是本协议不可分割的一部分，对本协议的签署构成了对背面通用条款的同意。</t>
  </si>
  <si>
    <t>委托方业务签章：</t>
  </si>
  <si>
    <t>被委托方业务签章：</t>
  </si>
  <si>
    <t>经办人签章：</t>
  </si>
  <si>
    <t>经办报关员签章：</t>
  </si>
  <si>
    <t>联系电话：</t>
  </si>
  <si>
    <t xml:space="preserve">  （白联：海关留存、黄联：被委托方留存、红联：委托方留存）</t>
  </si>
  <si>
    <t>中国报关协会监制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</si>
</sst>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0000_);[Red]\(0.0000\)"/>
    <numFmt numFmtId="178" formatCode="[$HKD]\ #,##0.00"/>
    <numFmt numFmtId="179" formatCode="#,##0.00_);[Red]\(#,##0.00\)"/>
    <numFmt numFmtId="180" formatCode="[DBNum2][$-804]\ General&quot;元整&quot;"/>
    <numFmt numFmtId="181" formatCode="0.000_);[Red]\(0.000\)"/>
  </numFmts>
  <fonts count="64">
    <font>
      <sz val="12"/>
      <name val="宋体"/>
      <charset val="134"/>
    </font>
    <font>
      <b/>
      <sz val="14"/>
      <name val="宋体"/>
      <charset val="134"/>
    </font>
    <font>
      <b/>
      <sz val="12"/>
      <name val="宋体"/>
      <charset val="134"/>
    </font>
    <font>
      <sz val="10"/>
      <name val="宋体"/>
      <charset val="134"/>
    </font>
    <font>
      <b/>
      <sz val="10"/>
      <name val="宋体"/>
      <charset val="134"/>
    </font>
    <font>
      <sz val="11"/>
      <name val="宋体"/>
      <charset val="134"/>
    </font>
    <font>
      <sz val="8"/>
      <name val="宋体"/>
      <charset val="134"/>
    </font>
    <font>
      <sz val="9"/>
      <name val="宋体"/>
      <charset val="134"/>
    </font>
    <font>
      <sz val="12"/>
      <name val="Times New Roman"/>
      <charset val="134"/>
    </font>
    <font>
      <b/>
      <sz val="24"/>
      <name val="宋体"/>
      <charset val="134"/>
    </font>
    <font>
      <sz val="24"/>
      <name val="宋体"/>
      <charset val="134"/>
    </font>
    <font>
      <sz val="11"/>
      <name val="Times New Roman"/>
      <charset val="134"/>
    </font>
    <font>
      <sz val="10"/>
      <name val="Times New Roman"/>
      <charset val="134"/>
    </font>
    <font>
      <sz val="10"/>
      <name val="宋体"/>
      <charset val="134"/>
      <scheme val="minor"/>
    </font>
    <font>
      <b/>
      <sz val="12"/>
      <name val="Times New Roman"/>
      <charset val="134"/>
    </font>
    <font>
      <b/>
      <sz val="10"/>
      <name val="Times New Roman"/>
      <charset val="134"/>
    </font>
    <font>
      <sz val="9"/>
      <name val="Times New Roman"/>
      <charset val="134"/>
    </font>
    <font>
      <u/>
      <sz val="12"/>
      <name val="Times New Roman"/>
      <charset val="134"/>
    </font>
    <font>
      <b/>
      <sz val="22"/>
      <name val="宋体"/>
      <charset val="134"/>
    </font>
    <font>
      <sz val="22"/>
      <name val="宋体"/>
      <charset val="134"/>
    </font>
    <font>
      <sz val="20"/>
      <name val="Times New Roman"/>
      <charset val="134"/>
    </font>
    <font>
      <sz val="16"/>
      <name val="Times New Roman"/>
      <charset val="134"/>
    </font>
    <font>
      <sz val="12"/>
      <color indexed="10"/>
      <name val="宋体"/>
      <charset val="134"/>
    </font>
    <font>
      <b/>
      <sz val="12"/>
      <color rgb="FFFF0000"/>
      <name val="宋体"/>
      <charset val="134"/>
    </font>
    <font>
      <u/>
      <sz val="11"/>
      <color rgb="FF0000FF"/>
      <name val="宋体"/>
      <charset val="134"/>
      <scheme val="minor"/>
    </font>
    <font>
      <sz val="20"/>
      <name val="宋体"/>
      <charset val="134"/>
    </font>
    <font>
      <b/>
      <sz val="20"/>
      <name val="宋体"/>
      <charset val="134"/>
    </font>
    <font>
      <sz val="10"/>
      <color rgb="FFFF0000"/>
      <name val="宋体"/>
      <charset val="134"/>
    </font>
    <font>
      <sz val="10"/>
      <color theme="1"/>
      <name val="宋体"/>
      <charset val="134"/>
      <scheme val="minor"/>
    </font>
    <font>
      <sz val="10"/>
      <color rgb="FFFF0000"/>
      <name val="宋体"/>
      <charset val="134"/>
      <scheme val="minor"/>
    </font>
    <font>
      <u/>
      <sz val="11"/>
      <color rgb="FF800080"/>
      <name val="宋体"/>
      <charset val="134"/>
      <scheme val="minor"/>
    </font>
    <font>
      <b/>
      <sz val="11"/>
      <name val="宋体"/>
      <charset val="134"/>
    </font>
    <font>
      <sz val="11"/>
      <color theme="8" tint="-0.499984740745262"/>
      <name val="宋体"/>
      <charset val="134"/>
    </font>
    <font>
      <sz val="12"/>
      <color rgb="FFFF0000"/>
      <name val="宋体"/>
      <charset val="134"/>
    </font>
    <font>
      <sz val="10"/>
      <color rgb="FFD9D9D9"/>
      <name val="宋体"/>
      <charset val="134"/>
    </font>
    <font>
      <sz val="12"/>
      <color theme="0" tint="-0.249977111117893"/>
      <name val="宋体"/>
      <charset val="134"/>
    </font>
    <font>
      <sz val="14"/>
      <color rgb="FFFF0000"/>
      <name val="宋体"/>
      <charset val="134"/>
    </font>
    <font>
      <sz val="14"/>
      <name val="宋体"/>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24"/>
      <name val="Times New Roman"/>
      <charset val="134"/>
    </font>
    <font>
      <b/>
      <u/>
      <sz val="22"/>
      <name val="宋体"/>
      <charset val="134"/>
    </font>
    <font>
      <u/>
      <sz val="20"/>
      <name val="Times New Roman"/>
      <charset val="134"/>
    </font>
    <font>
      <b/>
      <sz val="12"/>
      <color indexed="10"/>
      <name val="宋体"/>
      <charset val="134"/>
    </font>
    <font>
      <sz val="10"/>
      <color indexed="10"/>
      <name val="宋体"/>
      <charset val="134"/>
    </font>
    <font>
      <b/>
      <sz val="9"/>
      <name val="宋体"/>
      <charset val="134"/>
    </font>
    <font>
      <sz val="9"/>
      <name val="宋体"/>
      <charset val="134"/>
    </font>
  </fonts>
  <fills count="36">
    <fill>
      <patternFill patternType="none"/>
    </fill>
    <fill>
      <patternFill patternType="gray125"/>
    </fill>
    <fill>
      <patternFill patternType="solid">
        <fgColor theme="0" tint="-0.149998474074526"/>
        <bgColor indexed="64"/>
      </patternFill>
    </fill>
    <fill>
      <patternFill patternType="solid">
        <fgColor theme="0" tint="-0.0499893185216834"/>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9">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auto="1"/>
      </bottom>
      <diagonal/>
    </border>
    <border>
      <left style="thin">
        <color auto="1"/>
      </left>
      <right/>
      <top style="double">
        <color auto="1"/>
      </top>
      <bottom/>
      <diagonal/>
    </border>
    <border>
      <left/>
      <right style="thin">
        <color auto="1"/>
      </right>
      <top style="double">
        <color auto="1"/>
      </top>
      <bottom/>
      <diagonal/>
    </border>
    <border>
      <left style="thin">
        <color auto="1"/>
      </left>
      <right style="thin">
        <color auto="1"/>
      </right>
      <top style="double">
        <color auto="1"/>
      </top>
      <bottom/>
      <diagonal/>
    </border>
    <border>
      <left/>
      <right/>
      <top style="double">
        <color auto="1"/>
      </top>
      <bottom/>
      <diagonal/>
    </border>
    <border>
      <left/>
      <right/>
      <top style="hair">
        <color auto="1"/>
      </top>
      <bottom/>
      <diagonal/>
    </border>
    <border>
      <left style="thin">
        <color auto="1"/>
      </left>
      <right/>
      <top/>
      <bottom style="hair">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8" fillId="0" borderId="0" applyFont="0" applyFill="0" applyBorder="0" applyAlignment="0" applyProtection="0">
      <alignment vertical="center"/>
    </xf>
    <xf numFmtId="44" fontId="38" fillId="0" borderId="0" applyFont="0" applyFill="0" applyBorder="0" applyAlignment="0" applyProtection="0">
      <alignment vertical="center"/>
    </xf>
    <xf numFmtId="9" fontId="38" fillId="0" borderId="0" applyFont="0" applyFill="0" applyBorder="0" applyAlignment="0" applyProtection="0">
      <alignment vertical="center"/>
    </xf>
    <xf numFmtId="41" fontId="38" fillId="0" borderId="0" applyFont="0" applyFill="0" applyBorder="0" applyAlignment="0" applyProtection="0">
      <alignment vertical="center"/>
    </xf>
    <xf numFmtId="42" fontId="38" fillId="0" borderId="0" applyFont="0" applyFill="0" applyBorder="0" applyAlignment="0" applyProtection="0">
      <alignment vertical="center"/>
    </xf>
    <xf numFmtId="0" fontId="24"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8" fillId="5" borderId="51"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52" applyNumberFormat="0" applyFill="0" applyAlignment="0" applyProtection="0">
      <alignment vertical="center"/>
    </xf>
    <xf numFmtId="0" fontId="44" fillId="0" borderId="52" applyNumberFormat="0" applyFill="0" applyAlignment="0" applyProtection="0">
      <alignment vertical="center"/>
    </xf>
    <xf numFmtId="0" fontId="45" fillId="0" borderId="53" applyNumberFormat="0" applyFill="0" applyAlignment="0" applyProtection="0">
      <alignment vertical="center"/>
    </xf>
    <xf numFmtId="0" fontId="45" fillId="0" borderId="0" applyNumberFormat="0" applyFill="0" applyBorder="0" applyAlignment="0" applyProtection="0">
      <alignment vertical="center"/>
    </xf>
    <xf numFmtId="0" fontId="46" fillId="6" borderId="54" applyNumberFormat="0" applyAlignment="0" applyProtection="0">
      <alignment vertical="center"/>
    </xf>
    <xf numFmtId="0" fontId="47" fillId="7" borderId="55" applyNumberFormat="0" applyAlignment="0" applyProtection="0">
      <alignment vertical="center"/>
    </xf>
    <xf numFmtId="0" fontId="48" fillId="7" borderId="54" applyNumberFormat="0" applyAlignment="0" applyProtection="0">
      <alignment vertical="center"/>
    </xf>
    <xf numFmtId="0" fontId="49" fillId="8" borderId="56" applyNumberFormat="0" applyAlignment="0" applyProtection="0">
      <alignment vertical="center"/>
    </xf>
    <xf numFmtId="0" fontId="50" fillId="0" borderId="57" applyNumberFormat="0" applyFill="0" applyAlignment="0" applyProtection="0">
      <alignment vertical="center"/>
    </xf>
    <xf numFmtId="0" fontId="51" fillId="0" borderId="58" applyNumberFormat="0" applyFill="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6" fillId="14"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5" fillId="35" borderId="0" applyNumberFormat="0" applyBorder="0" applyAlignment="0" applyProtection="0">
      <alignment vertical="center"/>
    </xf>
  </cellStyleXfs>
  <cellXfs count="394">
    <xf numFmtId="0" fontId="0" fillId="0" borderId="0" xfId="0">
      <alignment vertical="center"/>
    </xf>
    <xf numFmtId="0" fontId="1" fillId="0" borderId="0" xfId="0" applyFont="1">
      <alignment vertical="center"/>
    </xf>
    <xf numFmtId="0" fontId="2" fillId="0" borderId="0" xfId="0" applyFont="1" applyAlignment="1">
      <alignment horizontal="righ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0" fillId="0" borderId="0" xfId="0" applyProtection="1">
      <alignment vertical="center"/>
      <protection locked="0"/>
    </xf>
    <xf numFmtId="176" fontId="0" fillId="0" borderId="0" xfId="0" applyNumberFormat="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shrinkToFit="1"/>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5" xfId="0" applyFont="1" applyBorder="1" applyAlignment="1">
      <alignment horizontal="center" vertical="center" shrinkToFit="1"/>
    </xf>
    <xf numFmtId="0" fontId="3" fillId="0" borderId="6" xfId="0" applyFont="1" applyBorder="1" applyAlignment="1">
      <alignment horizontal="center" vertical="center" shrinkToFit="1"/>
    </xf>
    <xf numFmtId="176" fontId="3" fillId="0" borderId="5" xfId="0" applyNumberFormat="1"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right" vertical="center" shrinkToFit="1"/>
    </xf>
    <xf numFmtId="0" fontId="3" fillId="0" borderId="9" xfId="0" applyFont="1" applyBorder="1" applyAlignment="1">
      <alignment horizontal="left" vertical="center" shrinkToFit="1"/>
    </xf>
    <xf numFmtId="0" fontId="3" fillId="0" borderId="10" xfId="0" applyFont="1" applyBorder="1" applyAlignment="1">
      <alignment vertical="center" shrinkToFit="1"/>
    </xf>
    <xf numFmtId="176" fontId="3" fillId="0" borderId="7" xfId="0" applyNumberFormat="1" applyFont="1" applyBorder="1" applyAlignment="1">
      <alignment horizontal="center" vertical="center" shrinkToFit="1"/>
    </xf>
    <xf numFmtId="176" fontId="3" fillId="0" borderId="5" xfId="0" applyNumberFormat="1" applyFont="1" applyBorder="1" applyAlignment="1">
      <alignment horizontal="center" vertical="center" shrinkToFit="1"/>
    </xf>
    <xf numFmtId="0" fontId="3" fillId="0" borderId="11" xfId="0" applyFont="1" applyBorder="1" applyAlignment="1">
      <alignment horizontal="center" vertical="center"/>
    </xf>
    <xf numFmtId="0" fontId="3" fillId="0" borderId="11" xfId="0" applyFont="1" applyBorder="1" applyAlignment="1">
      <alignment horizontal="center" vertical="center" shrinkToFit="1"/>
    </xf>
    <xf numFmtId="0" fontId="3" fillId="0" borderId="12" xfId="0" applyFont="1" applyBorder="1" applyAlignment="1">
      <alignment horizontal="center" vertical="center"/>
    </xf>
    <xf numFmtId="0" fontId="3" fillId="0" borderId="13"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7" xfId="0" applyFont="1" applyBorder="1" applyAlignment="1">
      <alignment horizontal="left" vertical="center"/>
    </xf>
    <xf numFmtId="0" fontId="3" fillId="0" borderId="6" xfId="0" applyFont="1" applyBorder="1" applyAlignment="1">
      <alignment horizontal="center" vertical="center"/>
    </xf>
    <xf numFmtId="0" fontId="3" fillId="0" borderId="11" xfId="0" applyFont="1" applyBorder="1" applyAlignment="1">
      <alignment horizontal="left" vertical="center"/>
    </xf>
    <xf numFmtId="0" fontId="3" fillId="0" borderId="15" xfId="0" applyFont="1" applyBorder="1" applyAlignment="1">
      <alignment vertical="center"/>
    </xf>
    <xf numFmtId="0" fontId="3" fillId="0" borderId="16" xfId="0" applyFont="1" applyBorder="1" applyAlignment="1">
      <alignment vertical="center"/>
    </xf>
    <xf numFmtId="0" fontId="3" fillId="0" borderId="17" xfId="0" applyFont="1" applyBorder="1" applyAlignment="1">
      <alignment vertical="center"/>
    </xf>
    <xf numFmtId="0" fontId="3" fillId="0" borderId="18" xfId="0" applyFont="1" applyBorder="1" applyAlignment="1">
      <alignment vertical="center"/>
    </xf>
    <xf numFmtId="0" fontId="3" fillId="0" borderId="0" xfId="0" applyFont="1" applyBorder="1" applyAlignment="1">
      <alignment vertical="center"/>
    </xf>
    <xf numFmtId="0" fontId="3" fillId="0" borderId="19" xfId="0" applyFont="1" applyBorder="1" applyAlignment="1">
      <alignment vertical="center"/>
    </xf>
    <xf numFmtId="0" fontId="6" fillId="0" borderId="15" xfId="0" applyFont="1" applyBorder="1" applyAlignment="1">
      <alignment horizontal="left" vertical="top" wrapText="1"/>
    </xf>
    <xf numFmtId="0" fontId="6" fillId="0" borderId="16" xfId="0" applyFont="1" applyBorder="1" applyAlignment="1">
      <alignment horizontal="left" vertical="top"/>
    </xf>
    <xf numFmtId="0" fontId="6" fillId="0" borderId="17" xfId="0" applyFont="1" applyBorder="1" applyAlignment="1">
      <alignment horizontal="left" vertical="top"/>
    </xf>
    <xf numFmtId="0" fontId="6" fillId="0" borderId="16" xfId="0" applyFont="1" applyBorder="1" applyAlignment="1">
      <alignment horizontal="left" vertical="top" wrapText="1"/>
    </xf>
    <xf numFmtId="0" fontId="6" fillId="0" borderId="17" xfId="0" applyFont="1" applyBorder="1" applyAlignment="1">
      <alignment horizontal="left" vertical="top" wrapText="1"/>
    </xf>
    <xf numFmtId="0" fontId="6" fillId="0" borderId="18" xfId="0" applyFont="1" applyBorder="1" applyAlignment="1">
      <alignment horizontal="left" vertical="top"/>
    </xf>
    <xf numFmtId="0" fontId="6" fillId="0" borderId="0" xfId="0" applyFont="1" applyBorder="1" applyAlignment="1">
      <alignment horizontal="left" vertical="top"/>
    </xf>
    <xf numFmtId="0" fontId="6" fillId="0" borderId="19" xfId="0" applyFont="1" applyBorder="1" applyAlignment="1">
      <alignment horizontal="left" vertical="top"/>
    </xf>
    <xf numFmtId="0" fontId="6" fillId="0" borderId="18" xfId="0" applyFont="1" applyBorder="1" applyAlignment="1">
      <alignment horizontal="left" vertical="top" wrapText="1"/>
    </xf>
    <xf numFmtId="0" fontId="6" fillId="0" borderId="0" xfId="0" applyFont="1" applyBorder="1" applyAlignment="1">
      <alignment horizontal="left" vertical="top" wrapText="1"/>
    </xf>
    <xf numFmtId="0" fontId="6" fillId="0" borderId="19" xfId="0" applyFont="1" applyBorder="1" applyAlignment="1">
      <alignment horizontal="left" vertical="top" wrapText="1"/>
    </xf>
    <xf numFmtId="0" fontId="7" fillId="0" borderId="15" xfId="0" applyFont="1"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0" xfId="0" applyBorder="1" applyAlignment="1">
      <alignment vertical="center"/>
    </xf>
    <xf numFmtId="0" fontId="0" fillId="0" borderId="19" xfId="0" applyBorder="1" applyAlignment="1">
      <alignment vertical="center"/>
    </xf>
    <xf numFmtId="176" fontId="3" fillId="0" borderId="0" xfId="0" applyNumberFormat="1" applyFont="1" applyBorder="1" applyAlignment="1">
      <alignment vertical="center"/>
    </xf>
    <xf numFmtId="176" fontId="3" fillId="0" borderId="19" xfId="0" applyNumberFormat="1" applyFont="1" applyBorder="1" applyAlignment="1">
      <alignment vertical="center"/>
    </xf>
    <xf numFmtId="0" fontId="3" fillId="0" borderId="0" xfId="0" applyNumberFormat="1" applyFont="1" applyBorder="1" applyAlignment="1">
      <alignment horizontal="left" vertical="center"/>
    </xf>
    <xf numFmtId="176" fontId="3" fillId="0" borderId="0" xfId="0" applyNumberFormat="1" applyFont="1" applyAlignment="1">
      <alignment horizontal="center" vertical="center"/>
    </xf>
    <xf numFmtId="176" fontId="3" fillId="0" borderId="19" xfId="0" applyNumberFormat="1" applyFont="1" applyBorder="1" applyAlignment="1">
      <alignment horizontal="center"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0" xfId="0" applyAlignment="1">
      <alignment horizontal="center" vertical="center"/>
    </xf>
    <xf numFmtId="0" fontId="3" fillId="0" borderId="0" xfId="0" applyFont="1" applyAlignment="1">
      <alignment horizontal="left" vertical="top"/>
    </xf>
    <xf numFmtId="0" fontId="3" fillId="0" borderId="0" xfId="0" applyFont="1" applyAlignment="1">
      <alignment horizontal="left" vertical="center"/>
    </xf>
    <xf numFmtId="0" fontId="3" fillId="0" borderId="0" xfId="0" applyFont="1" applyAlignment="1">
      <alignment horizontal="center" vertical="center"/>
    </xf>
    <xf numFmtId="0" fontId="8" fillId="0" borderId="0" xfId="0" applyFont="1" applyBorder="1">
      <alignment vertical="center"/>
    </xf>
    <xf numFmtId="0" fontId="8" fillId="0" borderId="0" xfId="0" applyFont="1">
      <alignment vertical="center"/>
    </xf>
    <xf numFmtId="0" fontId="9" fillId="0" borderId="0" xfId="0" applyFont="1" applyBorder="1" applyAlignment="1" applyProtection="1">
      <alignment horizontal="center" vertical="center" wrapText="1"/>
    </xf>
    <xf numFmtId="0" fontId="10" fillId="0" borderId="0" xfId="0" applyFont="1" applyBorder="1" applyAlignment="1" applyProtection="1">
      <alignment horizontal="center" vertical="center" wrapText="1"/>
    </xf>
    <xf numFmtId="0" fontId="11" fillId="0" borderId="0" xfId="0" applyFont="1" applyBorder="1" applyAlignment="1" applyProtection="1">
      <alignment horizontal="center" vertical="center"/>
    </xf>
    <xf numFmtId="0" fontId="5" fillId="0" borderId="0" xfId="0" applyFont="1" applyBorder="1" applyAlignment="1" applyProtection="1">
      <alignment horizontal="left" vertical="center" wrapText="1"/>
    </xf>
    <xf numFmtId="0" fontId="11" fillId="0" borderId="0" xfId="0" applyFont="1" applyBorder="1" applyAlignment="1" applyProtection="1">
      <alignment horizontal="right" vertical="center"/>
    </xf>
    <xf numFmtId="0" fontId="8" fillId="0" borderId="0" xfId="0" applyFont="1" applyAlignment="1" applyProtection="1">
      <alignment horizontal="center" vertical="center"/>
    </xf>
    <xf numFmtId="0" fontId="11" fillId="0" borderId="0" xfId="0" applyFont="1" applyAlignment="1" applyProtection="1">
      <alignment horizontal="center" vertical="center"/>
    </xf>
    <xf numFmtId="0" fontId="5" fillId="0" borderId="21" xfId="0" applyFont="1" applyBorder="1" applyAlignment="1" applyProtection="1">
      <alignment horizontal="left" vertical="center" wrapText="1"/>
    </xf>
    <xf numFmtId="0" fontId="11" fillId="0" borderId="0" xfId="0" applyFont="1" applyBorder="1" applyAlignment="1" applyProtection="1">
      <alignment horizontal="right" vertical="center" wrapText="1"/>
    </xf>
    <xf numFmtId="0" fontId="8" fillId="0" borderId="0" xfId="0" applyFont="1" applyBorder="1" applyAlignment="1" applyProtection="1">
      <alignment horizontal="center" vertical="center" wrapText="1"/>
    </xf>
    <xf numFmtId="0" fontId="11" fillId="0" borderId="0" xfId="0" applyFont="1" applyBorder="1" applyAlignment="1" applyProtection="1">
      <alignment horizontal="center" vertical="center" wrapText="1"/>
    </xf>
    <xf numFmtId="0" fontId="5" fillId="0" borderId="16" xfId="0" applyFont="1" applyBorder="1" applyAlignment="1" applyProtection="1">
      <alignment horizontal="left" vertical="center" wrapText="1"/>
    </xf>
    <xf numFmtId="0" fontId="11" fillId="0" borderId="16" xfId="0" applyFont="1" applyBorder="1" applyAlignment="1" applyProtection="1">
      <alignment horizontal="left" vertical="center" wrapText="1"/>
    </xf>
    <xf numFmtId="0" fontId="12" fillId="0" borderId="0" xfId="0" applyFont="1" applyBorder="1" applyAlignment="1" applyProtection="1">
      <alignment horizontal="right" vertical="center"/>
    </xf>
    <xf numFmtId="0" fontId="12" fillId="0" borderId="0" xfId="0" applyFont="1" applyBorder="1" applyAlignment="1" applyProtection="1">
      <alignment horizontal="center" vertical="center"/>
    </xf>
    <xf numFmtId="0" fontId="11" fillId="0" borderId="21" xfId="0" applyFont="1" applyBorder="1" applyAlignment="1" applyProtection="1">
      <alignment horizontal="left" vertical="center" wrapText="1"/>
    </xf>
    <xf numFmtId="0" fontId="11" fillId="0" borderId="16" xfId="0" applyFont="1" applyBorder="1" applyAlignment="1" applyProtection="1">
      <alignment horizontal="center" wrapText="1"/>
    </xf>
    <xf numFmtId="0" fontId="5" fillId="0" borderId="0" xfId="0" applyFont="1" applyAlignment="1" applyProtection="1">
      <alignment horizontal="center" vertical="center"/>
    </xf>
    <xf numFmtId="0" fontId="8" fillId="0" borderId="0" xfId="0" applyNumberFormat="1" applyFont="1" applyFill="1" applyBorder="1" applyAlignment="1" applyProtection="1">
      <alignment horizontal="center" vertical="center" wrapText="1"/>
    </xf>
    <xf numFmtId="0" fontId="8" fillId="0" borderId="0" xfId="0" applyFont="1" applyAlignment="1">
      <alignment horizontal="center" vertical="center"/>
    </xf>
    <xf numFmtId="0" fontId="12" fillId="0" borderId="0" xfId="0" applyFont="1" applyBorder="1" applyAlignment="1" applyProtection="1">
      <alignment horizontal="center" vertical="center" wrapText="1"/>
    </xf>
    <xf numFmtId="0" fontId="11" fillId="0" borderId="21" xfId="0" applyFont="1" applyBorder="1" applyAlignment="1" applyProtection="1">
      <alignment horizontal="center" wrapText="1"/>
    </xf>
    <xf numFmtId="0" fontId="11" fillId="0" borderId="21" xfId="0" applyFont="1" applyBorder="1" applyAlignment="1" applyProtection="1">
      <alignment horizontal="center" vertical="center" wrapText="1"/>
    </xf>
    <xf numFmtId="0" fontId="5" fillId="0" borderId="0" xfId="0" applyFont="1" applyBorder="1" applyAlignment="1" applyProtection="1">
      <alignment horizontal="center" vertical="center" wrapText="1"/>
    </xf>
    <xf numFmtId="0" fontId="5" fillId="0" borderId="16" xfId="0" applyFont="1" applyBorder="1" applyAlignment="1" applyProtection="1">
      <alignment horizontal="left" vertical="center"/>
    </xf>
    <xf numFmtId="14" fontId="8" fillId="0" borderId="0" xfId="0" applyNumberFormat="1" applyFont="1" applyFill="1" applyBorder="1" applyAlignment="1" applyProtection="1">
      <alignment horizontal="center" vertical="center" wrapText="1"/>
    </xf>
    <xf numFmtId="0" fontId="5" fillId="0" borderId="21" xfId="0" applyFont="1" applyBorder="1" applyAlignment="1" applyProtection="1">
      <alignment horizontal="left" vertical="center"/>
    </xf>
    <xf numFmtId="0" fontId="3" fillId="0" borderId="0" xfId="0" applyFont="1" applyBorder="1" applyAlignment="1" applyProtection="1">
      <alignment horizontal="right" vertical="center"/>
    </xf>
    <xf numFmtId="0" fontId="12" fillId="0" borderId="0" xfId="0" applyFont="1" applyBorder="1" applyAlignment="1" applyProtection="1">
      <alignment vertical="center" wrapText="1"/>
    </xf>
    <xf numFmtId="0" fontId="0" fillId="0" borderId="0" xfId="0" applyFont="1" applyBorder="1" applyAlignment="1" applyProtection="1">
      <alignment horizontal="center" vertical="center" wrapText="1"/>
    </xf>
    <xf numFmtId="0" fontId="13" fillId="0" borderId="0" xfId="0" applyFont="1" applyAlignment="1" applyProtection="1">
      <alignment horizontal="right" vertical="center" wrapText="1"/>
    </xf>
    <xf numFmtId="0" fontId="13" fillId="0" borderId="0" xfId="0" applyFont="1" applyAlignment="1" applyProtection="1">
      <alignment horizontal="center"/>
    </xf>
    <xf numFmtId="0" fontId="13" fillId="0" borderId="0" xfId="0" applyFont="1" applyAlignment="1" applyProtection="1">
      <alignment horizontal="left"/>
    </xf>
    <xf numFmtId="0" fontId="11" fillId="0" borderId="16" xfId="0" applyFont="1" applyBorder="1" applyAlignment="1" applyProtection="1">
      <alignment horizontal="center" vertical="center"/>
    </xf>
    <xf numFmtId="0" fontId="12" fillId="0" borderId="16" xfId="0" applyFont="1" applyBorder="1" applyAlignment="1" applyProtection="1">
      <alignment horizontal="center" vertical="center"/>
    </xf>
    <xf numFmtId="0" fontId="13" fillId="0" borderId="0" xfId="0" applyFont="1" applyAlignment="1" applyProtection="1">
      <alignment horizontal="right" vertical="center"/>
    </xf>
    <xf numFmtId="0" fontId="11" fillId="0" borderId="21" xfId="0" applyFont="1" applyBorder="1" applyAlignment="1" applyProtection="1">
      <alignment horizontal="center" vertical="center"/>
    </xf>
    <xf numFmtId="0" fontId="12" fillId="0" borderId="0" xfId="0" applyFont="1" applyBorder="1" applyProtection="1">
      <alignment vertical="center"/>
    </xf>
    <xf numFmtId="0" fontId="3" fillId="0" borderId="0" xfId="0" applyFont="1" applyBorder="1" applyProtection="1">
      <alignment vertical="center"/>
    </xf>
    <xf numFmtId="0" fontId="3" fillId="0" borderId="16" xfId="0" applyFont="1" applyBorder="1" applyProtection="1">
      <alignment vertical="center"/>
    </xf>
    <xf numFmtId="0" fontId="12" fillId="0" borderId="23" xfId="0" applyFont="1" applyBorder="1" applyAlignment="1" applyProtection="1">
      <alignment vertical="center" shrinkToFit="1"/>
    </xf>
    <xf numFmtId="0" fontId="11" fillId="0" borderId="24" xfId="0" applyFont="1" applyBorder="1" applyAlignment="1" applyProtection="1">
      <alignment horizontal="center" vertical="center"/>
    </xf>
    <xf numFmtId="0" fontId="11" fillId="0" borderId="25" xfId="0" applyFont="1" applyBorder="1" applyAlignment="1" applyProtection="1">
      <alignment horizontal="center" vertical="center"/>
    </xf>
    <xf numFmtId="0" fontId="11" fillId="0" borderId="26" xfId="0" applyFont="1" applyBorder="1" applyAlignment="1" applyProtection="1">
      <alignment horizontal="center" vertical="center"/>
    </xf>
    <xf numFmtId="0" fontId="11" fillId="0" borderId="27" xfId="0" applyFont="1" applyBorder="1" applyAlignment="1" applyProtection="1">
      <alignment horizontal="center" vertical="center"/>
    </xf>
    <xf numFmtId="0" fontId="11" fillId="0" borderId="20" xfId="0" applyFont="1" applyBorder="1" applyAlignment="1" applyProtection="1">
      <alignment horizontal="center" vertical="center"/>
    </xf>
    <xf numFmtId="0" fontId="11" fillId="0" borderId="22" xfId="0" applyFont="1" applyBorder="1" applyAlignment="1" applyProtection="1">
      <alignment horizontal="center" vertical="center"/>
    </xf>
    <xf numFmtId="0" fontId="11" fillId="0" borderId="5" xfId="0" applyFont="1" applyBorder="1" applyAlignment="1" applyProtection="1">
      <alignment horizontal="center" vertical="center"/>
    </xf>
    <xf numFmtId="0" fontId="5" fillId="0" borderId="15" xfId="0" applyFont="1" applyBorder="1" applyAlignment="1" applyProtection="1">
      <alignment horizontal="center" vertical="center" shrinkToFit="1"/>
    </xf>
    <xf numFmtId="0" fontId="5" fillId="0" borderId="17" xfId="0" applyFont="1" applyBorder="1" applyAlignment="1" applyProtection="1">
      <alignment horizontal="center" vertical="center" shrinkToFit="1"/>
    </xf>
    <xf numFmtId="0" fontId="8" fillId="0" borderId="11" xfId="0" applyNumberFormat="1" applyFont="1" applyBorder="1" applyAlignment="1" applyProtection="1">
      <alignment horizontal="center" vertical="center" shrinkToFit="1"/>
    </xf>
    <xf numFmtId="0" fontId="3" fillId="0" borderId="11" xfId="0" applyFont="1" applyBorder="1" applyAlignment="1" applyProtection="1">
      <alignment horizontal="center" vertical="center" shrinkToFit="1"/>
    </xf>
    <xf numFmtId="177" fontId="8" fillId="0" borderId="11" xfId="0" applyNumberFormat="1" applyFont="1" applyBorder="1" applyAlignment="1" applyProtection="1">
      <alignment horizontal="center" vertical="center" shrinkToFit="1"/>
    </xf>
    <xf numFmtId="0" fontId="8" fillId="0" borderId="15" xfId="0" applyNumberFormat="1" applyFont="1" applyBorder="1" applyAlignment="1" applyProtection="1">
      <alignment horizontal="center" vertical="center" shrinkToFit="1"/>
    </xf>
    <xf numFmtId="4" fontId="8" fillId="0" borderId="16" xfId="0" applyNumberFormat="1" applyFont="1" applyBorder="1" applyAlignment="1" applyProtection="1">
      <alignment horizontal="left" vertical="center" shrinkToFit="1"/>
    </xf>
    <xf numFmtId="4" fontId="8" fillId="0" borderId="17" xfId="0" applyNumberFormat="1" applyFont="1" applyBorder="1" applyAlignment="1" applyProtection="1">
      <alignment horizontal="left" vertical="center" shrinkToFit="1"/>
    </xf>
    <xf numFmtId="0" fontId="5" fillId="0" borderId="15" xfId="0" applyFont="1" applyBorder="1" applyAlignment="1" applyProtection="1">
      <alignment horizontal="center" vertical="center"/>
    </xf>
    <xf numFmtId="0" fontId="5" fillId="0" borderId="17" xfId="0" applyFont="1" applyBorder="1" applyAlignment="1" applyProtection="1">
      <alignment horizontal="center" vertical="center"/>
    </xf>
    <xf numFmtId="0" fontId="8" fillId="0" borderId="11" xfId="0" applyNumberFormat="1" applyFont="1" applyBorder="1" applyAlignment="1" applyProtection="1">
      <alignment horizontal="center" vertical="center"/>
    </xf>
    <xf numFmtId="0" fontId="3" fillId="0" borderId="11" xfId="0" applyFont="1" applyBorder="1" applyAlignment="1" applyProtection="1">
      <alignment horizontal="center" vertical="center"/>
    </xf>
    <xf numFmtId="4" fontId="8" fillId="0" borderId="11" xfId="0" applyNumberFormat="1" applyFont="1" applyBorder="1" applyAlignment="1" applyProtection="1">
      <alignment horizontal="center" vertical="center"/>
    </xf>
    <xf numFmtId="0" fontId="8" fillId="0" borderId="15" xfId="0" applyNumberFormat="1" applyFont="1" applyBorder="1" applyAlignment="1" applyProtection="1">
      <alignment horizontal="center" vertical="center"/>
    </xf>
    <xf numFmtId="4" fontId="8" fillId="0" borderId="16" xfId="0" applyNumberFormat="1" applyFont="1" applyBorder="1" applyAlignment="1" applyProtection="1">
      <alignment horizontal="left" vertical="center"/>
    </xf>
    <xf numFmtId="4" fontId="8" fillId="0" borderId="17" xfId="0" applyNumberFormat="1" applyFont="1" applyBorder="1" applyAlignment="1" applyProtection="1">
      <alignment horizontal="left" vertical="center"/>
    </xf>
    <xf numFmtId="0" fontId="14" fillId="0" borderId="0" xfId="0" applyFont="1" applyBorder="1" applyProtection="1">
      <alignment vertical="center"/>
    </xf>
    <xf numFmtId="178" fontId="14" fillId="0" borderId="15" xfId="0" applyNumberFormat="1" applyFont="1" applyBorder="1" applyAlignment="1" applyProtection="1">
      <alignment horizontal="center" vertical="center"/>
    </xf>
    <xf numFmtId="179" fontId="14" fillId="0" borderId="28" xfId="0" applyNumberFormat="1" applyFont="1" applyBorder="1" applyAlignment="1" applyProtection="1">
      <alignment horizontal="left" vertical="center"/>
    </xf>
    <xf numFmtId="0" fontId="12" fillId="0" borderId="0" xfId="0" applyFont="1" applyBorder="1" applyAlignment="1" applyProtection="1">
      <alignment vertical="center"/>
    </xf>
    <xf numFmtId="0" fontId="15" fillId="0" borderId="0" xfId="0" applyFont="1" applyBorder="1" applyAlignment="1" applyProtection="1">
      <alignment vertical="center"/>
    </xf>
    <xf numFmtId="178" fontId="14" fillId="0" borderId="29" xfId="0" applyNumberFormat="1" applyFont="1" applyBorder="1" applyAlignment="1" applyProtection="1">
      <alignment horizontal="center" vertical="center"/>
    </xf>
    <xf numFmtId="179" fontId="14" fillId="0" borderId="0" xfId="0" applyNumberFormat="1" applyFont="1" applyBorder="1" applyAlignment="1" applyProtection="1">
      <alignment horizontal="left" vertical="center"/>
    </xf>
    <xf numFmtId="0" fontId="0" fillId="0" borderId="0" xfId="0" applyFont="1" applyBorder="1" applyAlignment="1" applyProtection="1">
      <alignment horizontal="left" vertical="center"/>
    </xf>
    <xf numFmtId="0" fontId="0" fillId="0" borderId="0" xfId="0" applyFont="1" applyBorder="1" applyProtection="1">
      <alignment vertical="center"/>
    </xf>
    <xf numFmtId="179" fontId="2" fillId="0" borderId="0" xfId="0" applyNumberFormat="1" applyFont="1" applyBorder="1" applyAlignment="1" applyProtection="1">
      <alignment horizontal="right" vertical="center"/>
      <protection locked="0"/>
    </xf>
    <xf numFmtId="180" fontId="2" fillId="0" borderId="0" xfId="0" applyNumberFormat="1" applyFont="1" applyBorder="1" applyAlignment="1" applyProtection="1">
      <alignment horizontal="left" vertical="center"/>
    </xf>
    <xf numFmtId="179" fontId="2" fillId="0" borderId="0" xfId="0" applyNumberFormat="1" applyFont="1" applyBorder="1" applyAlignment="1" applyProtection="1">
      <alignment horizontal="right" vertical="center"/>
    </xf>
    <xf numFmtId="0" fontId="8" fillId="0" borderId="0" xfId="0" applyFont="1" applyBorder="1" applyProtection="1">
      <alignment vertical="center"/>
    </xf>
    <xf numFmtId="0" fontId="0" fillId="0" borderId="0" xfId="0" applyBorder="1" applyAlignment="1" applyProtection="1">
      <alignment horizontal="center" vertical="center"/>
    </xf>
    <xf numFmtId="0" fontId="0" fillId="0" borderId="0" xfId="0" applyBorder="1" applyAlignment="1" applyProtection="1">
      <alignment horizontal="left" vertical="center" shrinkToFit="1"/>
    </xf>
    <xf numFmtId="0" fontId="8" fillId="0" borderId="0" xfId="0" applyFont="1" applyBorder="1" applyAlignment="1" applyProtection="1">
      <alignment horizontal="left" vertical="center" shrinkToFit="1"/>
    </xf>
    <xf numFmtId="176" fontId="8" fillId="0" borderId="0" xfId="0" applyNumberFormat="1" applyFont="1" applyBorder="1" applyAlignment="1" applyProtection="1">
      <alignment horizontal="center" vertical="center"/>
    </xf>
    <xf numFmtId="0" fontId="0" fillId="0" borderId="0" xfId="0" applyBorder="1" applyAlignment="1" applyProtection="1">
      <alignment horizontal="left" vertical="center"/>
    </xf>
    <xf numFmtId="0" fontId="8" fillId="0" borderId="0" xfId="0" applyFont="1" applyBorder="1" applyAlignment="1" applyProtection="1">
      <alignment horizontal="center" vertical="center"/>
    </xf>
    <xf numFmtId="0" fontId="0" fillId="0" borderId="0" xfId="0" applyBorder="1" applyProtection="1">
      <alignment vertical="center"/>
    </xf>
    <xf numFmtId="0" fontId="16" fillId="0" borderId="0" xfId="0" applyFont="1" applyBorder="1" applyAlignment="1" applyProtection="1">
      <alignment horizontal="left" vertical="center"/>
    </xf>
    <xf numFmtId="0" fontId="0" fillId="0" borderId="0" xfId="0" applyBorder="1" applyAlignment="1" applyProtection="1">
      <alignment horizontal="right" vertical="center"/>
    </xf>
    <xf numFmtId="0" fontId="8" fillId="0" borderId="0" xfId="0" applyFont="1" applyBorder="1" applyAlignment="1" applyProtection="1">
      <alignment vertical="center"/>
    </xf>
    <xf numFmtId="0" fontId="8" fillId="0" borderId="0" xfId="0" applyFont="1" applyBorder="1" applyAlignment="1" applyProtection="1">
      <alignment horizontal="left" vertical="center"/>
    </xf>
    <xf numFmtId="0" fontId="8" fillId="0" borderId="0" xfId="0" applyFont="1" applyAlignment="1" applyProtection="1">
      <alignment horizontal="left" vertical="center"/>
    </xf>
    <xf numFmtId="0" fontId="8" fillId="0" borderId="0" xfId="0" applyFont="1" applyProtection="1">
      <alignment vertical="center"/>
    </xf>
    <xf numFmtId="0" fontId="17" fillId="0" borderId="0" xfId="0" applyFont="1" applyBorder="1" applyProtection="1">
      <alignment vertical="center"/>
    </xf>
    <xf numFmtId="0" fontId="8" fillId="0" borderId="0" xfId="0" applyFont="1" applyAlignment="1">
      <alignment horizontal="left" vertical="center"/>
    </xf>
    <xf numFmtId="0" fontId="18" fillId="0" borderId="0" xfId="0" applyFont="1" applyBorder="1" applyAlignment="1" applyProtection="1">
      <alignment horizontal="center" vertical="center" wrapText="1"/>
    </xf>
    <xf numFmtId="0" fontId="18" fillId="0" borderId="0" xfId="0" applyFont="1" applyBorder="1" applyAlignment="1" applyProtection="1">
      <alignment horizontal="left" vertical="center" wrapText="1"/>
    </xf>
    <xf numFmtId="0" fontId="19" fillId="0" borderId="0" xfId="0" applyFont="1" applyBorder="1" applyAlignment="1" applyProtection="1">
      <alignment horizontal="center" vertical="center"/>
    </xf>
    <xf numFmtId="0" fontId="0" fillId="0" borderId="0" xfId="0" applyFont="1" applyBorder="1" applyAlignment="1" applyProtection="1">
      <alignment horizontal="left" vertical="center" wrapText="1"/>
    </xf>
    <xf numFmtId="14" fontId="8" fillId="0" borderId="21" xfId="0" applyNumberFormat="1" applyFont="1" applyFill="1" applyBorder="1" applyAlignment="1" applyProtection="1">
      <alignment horizontal="left" vertical="center" wrapText="1"/>
    </xf>
    <xf numFmtId="0" fontId="20" fillId="0" borderId="0" xfId="0" applyFont="1" applyBorder="1" applyAlignment="1" applyProtection="1">
      <alignment vertical="center"/>
    </xf>
    <xf numFmtId="0" fontId="21" fillId="0" borderId="0" xfId="0" applyFont="1" applyBorder="1" applyAlignment="1" applyProtection="1">
      <alignment vertical="center"/>
    </xf>
    <xf numFmtId="0" fontId="12" fillId="0" borderId="0" xfId="0" applyFont="1" applyBorder="1" applyAlignment="1" applyProtection="1">
      <alignment horizontal="left" vertical="center" wrapText="1"/>
    </xf>
    <xf numFmtId="0" fontId="0" fillId="0" borderId="0" xfId="0" applyFont="1" applyBorder="1" applyAlignment="1" applyProtection="1">
      <alignment vertical="center" wrapText="1"/>
    </xf>
    <xf numFmtId="0" fontId="8" fillId="0" borderId="21" xfId="0" applyNumberFormat="1" applyFont="1" applyFill="1" applyBorder="1" applyAlignment="1" applyProtection="1">
      <alignment horizontal="left" vertical="center" wrapText="1"/>
    </xf>
    <xf numFmtId="0" fontId="0" fillId="0" borderId="21" xfId="0" applyFont="1" applyBorder="1" applyAlignment="1" applyProtection="1">
      <alignment horizontal="left" vertical="center" wrapText="1"/>
    </xf>
    <xf numFmtId="0" fontId="8" fillId="0" borderId="21" xfId="0" applyNumberFormat="1" applyFont="1" applyBorder="1" applyAlignment="1" applyProtection="1">
      <alignment horizontal="left" vertical="center" wrapText="1"/>
    </xf>
    <xf numFmtId="0" fontId="0" fillId="0" borderId="0" xfId="0" applyBorder="1" applyAlignment="1" applyProtection="1">
      <alignment wrapText="1"/>
    </xf>
    <xf numFmtId="0" fontId="8" fillId="0" borderId="0" xfId="0" applyFont="1" applyBorder="1" applyAlignment="1" applyProtection="1">
      <alignment wrapText="1"/>
    </xf>
    <xf numFmtId="0" fontId="0" fillId="0" borderId="0" xfId="0" applyFont="1" applyBorder="1" applyAlignment="1" applyProtection="1">
      <alignment horizontal="center" vertical="center"/>
    </xf>
    <xf numFmtId="0" fontId="0" fillId="0" borderId="0" xfId="0" applyFont="1" applyBorder="1" applyAlignment="1" applyProtection="1">
      <alignment horizontal="left"/>
    </xf>
    <xf numFmtId="0" fontId="22" fillId="0" borderId="0" xfId="0"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Border="1" applyAlignment="1" applyProtection="1">
      <alignment vertical="top" wrapText="1"/>
    </xf>
    <xf numFmtId="0" fontId="0" fillId="0" borderId="21" xfId="0" applyFont="1" applyBorder="1" applyAlignment="1" applyProtection="1">
      <alignment horizontal="center" vertical="top"/>
    </xf>
    <xf numFmtId="0" fontId="0" fillId="0" borderId="0" xfId="0" applyFont="1" applyBorder="1" applyAlignment="1" applyProtection="1">
      <alignment vertical="center"/>
    </xf>
    <xf numFmtId="0" fontId="0" fillId="0" borderId="0" xfId="0" applyFont="1" applyFill="1" applyBorder="1" applyAlignment="1" applyProtection="1">
      <alignment vertical="center" wrapText="1"/>
    </xf>
    <xf numFmtId="0" fontId="0" fillId="0" borderId="21" xfId="0" applyFont="1" applyFill="1" applyBorder="1" applyAlignment="1" applyProtection="1">
      <alignment horizontal="center" vertical="center"/>
    </xf>
    <xf numFmtId="0" fontId="0" fillId="0" borderId="0" xfId="0" applyFont="1" applyBorder="1" applyAlignment="1" applyProtection="1">
      <alignment horizontal="center" vertical="top"/>
    </xf>
    <xf numFmtId="0" fontId="0" fillId="0" borderId="0" xfId="0" applyFont="1" applyFill="1" applyBorder="1" applyAlignment="1" applyProtection="1">
      <alignment horizontal="center" vertical="center"/>
    </xf>
    <xf numFmtId="0" fontId="0" fillId="0" borderId="7" xfId="0" applyFont="1" applyBorder="1" applyAlignment="1" applyProtection="1">
      <alignment horizontal="center" vertical="center" wrapText="1"/>
    </xf>
    <xf numFmtId="0" fontId="0" fillId="0" borderId="7" xfId="0" applyBorder="1" applyAlignment="1" applyProtection="1">
      <alignment horizontal="center" vertical="center" wrapText="1"/>
    </xf>
    <xf numFmtId="0" fontId="5" fillId="0" borderId="7" xfId="0" applyFont="1" applyBorder="1" applyAlignment="1" applyProtection="1">
      <alignment horizontal="center" vertical="center" wrapText="1"/>
    </xf>
    <xf numFmtId="0" fontId="0" fillId="0" borderId="7" xfId="0" applyFont="1" applyBorder="1" applyAlignment="1" applyProtection="1">
      <alignment horizontal="left" vertical="center" wrapText="1"/>
    </xf>
    <xf numFmtId="0" fontId="0" fillId="0" borderId="11" xfId="0" applyBorder="1" applyAlignment="1" applyProtection="1">
      <alignment horizontal="center" vertical="center" wrapText="1"/>
    </xf>
    <xf numFmtId="0" fontId="8" fillId="0" borderId="6" xfId="0" applyFont="1" applyBorder="1" applyAlignment="1" applyProtection="1">
      <alignment horizontal="center" vertical="top" wrapText="1"/>
    </xf>
    <xf numFmtId="0" fontId="5" fillId="0" borderId="19" xfId="0" applyFont="1" applyBorder="1" applyAlignment="1" applyProtection="1">
      <alignment horizontal="center" vertical="center" shrinkToFit="1"/>
    </xf>
    <xf numFmtId="0" fontId="8" fillId="0" borderId="19" xfId="0" applyNumberFormat="1" applyFont="1" applyBorder="1" applyAlignment="1" applyProtection="1">
      <alignment horizontal="center" vertical="center" shrinkToFit="1"/>
    </xf>
    <xf numFmtId="0" fontId="8" fillId="0" borderId="0" xfId="0" applyFont="1" applyBorder="1" applyAlignment="1" applyProtection="1">
      <alignment horizontal="right" vertical="center" shrinkToFit="1"/>
      <protection locked="0"/>
    </xf>
    <xf numFmtId="0" fontId="8" fillId="0" borderId="0" xfId="0" applyFont="1" applyBorder="1" applyAlignment="1" applyProtection="1">
      <alignment horizontal="left" vertical="center" shrinkToFit="1"/>
      <protection locked="0"/>
    </xf>
    <xf numFmtId="0" fontId="11" fillId="0" borderId="0" xfId="0" applyFont="1" applyBorder="1" applyProtection="1">
      <alignment vertical="center"/>
    </xf>
    <xf numFmtId="0" fontId="8" fillId="0" borderId="6" xfId="0" applyNumberFormat="1" applyFont="1" applyBorder="1" applyAlignment="1" applyProtection="1">
      <alignment horizontal="center" vertical="center" shrinkToFit="1"/>
    </xf>
    <xf numFmtId="0" fontId="5" fillId="0" borderId="19" xfId="0" applyFont="1" applyBorder="1" applyAlignment="1" applyProtection="1">
      <alignment horizontal="center" vertical="center" shrinkToFit="1"/>
      <protection locked="0"/>
    </xf>
    <xf numFmtId="0" fontId="8" fillId="0" borderId="5" xfId="0" applyFont="1" applyBorder="1" applyAlignment="1" applyProtection="1">
      <alignment horizontal="center" vertical="top" wrapText="1"/>
    </xf>
    <xf numFmtId="0" fontId="2" fillId="0" borderId="7" xfId="0" applyFont="1" applyBorder="1" applyAlignment="1" applyProtection="1">
      <alignment vertical="center" wrapText="1"/>
    </xf>
    <xf numFmtId="0" fontId="2" fillId="0" borderId="10" xfId="0" applyFont="1" applyBorder="1" applyAlignment="1" applyProtection="1">
      <alignment vertical="center" shrinkToFit="1"/>
    </xf>
    <xf numFmtId="0" fontId="8" fillId="0" borderId="10" xfId="0" applyNumberFormat="1" applyFont="1" applyBorder="1" applyAlignment="1" applyProtection="1">
      <alignment horizontal="center" vertical="center" shrinkToFit="1"/>
    </xf>
    <xf numFmtId="0" fontId="8" fillId="0" borderId="9" xfId="0" applyFont="1" applyBorder="1" applyAlignment="1" applyProtection="1">
      <alignment vertical="center" shrinkToFit="1"/>
      <protection locked="0"/>
    </xf>
    <xf numFmtId="0" fontId="8" fillId="0" borderId="10" xfId="0" applyFont="1" applyBorder="1" applyAlignment="1" applyProtection="1">
      <alignment vertical="center" shrinkToFit="1"/>
      <protection locked="0"/>
    </xf>
    <xf numFmtId="0" fontId="8" fillId="0" borderId="22" xfId="0" applyNumberFormat="1" applyFont="1" applyBorder="1" applyAlignment="1" applyProtection="1">
      <alignment horizontal="center" vertical="center" shrinkToFit="1"/>
    </xf>
    <xf numFmtId="0" fontId="2" fillId="0" borderId="0" xfId="0" applyFont="1" applyBorder="1" applyAlignment="1" applyProtection="1">
      <alignment horizontal="center" vertical="center" wrapText="1"/>
    </xf>
    <xf numFmtId="0" fontId="2" fillId="0" borderId="16" xfId="0" applyFont="1" applyBorder="1" applyAlignment="1" applyProtection="1">
      <alignment horizontal="right" vertical="center"/>
    </xf>
    <xf numFmtId="0" fontId="14" fillId="0" borderId="16" xfId="0" applyFont="1" applyBorder="1" applyAlignment="1" applyProtection="1">
      <alignment horizontal="right" vertical="center"/>
    </xf>
    <xf numFmtId="0" fontId="14" fillId="0" borderId="0" xfId="0" applyFont="1" applyBorder="1" applyAlignment="1" applyProtection="1">
      <alignment horizontal="right" vertical="center"/>
    </xf>
    <xf numFmtId="0" fontId="0" fillId="0" borderId="21" xfId="0" applyNumberFormat="1" applyFont="1" applyBorder="1" applyAlignment="1" applyProtection="1">
      <alignment horizontal="left" vertical="center" wrapText="1"/>
    </xf>
    <xf numFmtId="0" fontId="0" fillId="0" borderId="0" xfId="0" applyBorder="1" applyAlignment="1" applyProtection="1">
      <alignment vertical="center" wrapText="1"/>
    </xf>
    <xf numFmtId="14" fontId="0" fillId="0" borderId="21" xfId="0" applyNumberFormat="1" applyFont="1" applyFill="1" applyBorder="1" applyAlignment="1" applyProtection="1">
      <alignment horizontal="left" vertical="center" wrapText="1"/>
    </xf>
    <xf numFmtId="0" fontId="0" fillId="0" borderId="21" xfId="0" applyFont="1" applyFill="1" applyBorder="1" applyAlignment="1" applyProtection="1">
      <alignment horizontal="left" vertical="center" wrapText="1"/>
    </xf>
    <xf numFmtId="0" fontId="0" fillId="0" borderId="0" xfId="0" applyAlignment="1" applyProtection="1">
      <alignment vertical="center"/>
    </xf>
    <xf numFmtId="0" fontId="0" fillId="0" borderId="0" xfId="0" applyBorder="1" applyAlignment="1" applyProtection="1">
      <alignment vertical="center"/>
    </xf>
    <xf numFmtId="0" fontId="0" fillId="0" borderId="8" xfId="0" applyBorder="1" applyAlignment="1" applyProtection="1">
      <alignment horizontal="center" vertical="center" wrapText="1"/>
    </xf>
    <xf numFmtId="0" fontId="0" fillId="0" borderId="18" xfId="0" applyBorder="1" applyAlignment="1" applyProtection="1">
      <alignment horizontal="center" vertical="top" wrapText="1"/>
    </xf>
    <xf numFmtId="0" fontId="0" fillId="0" borderId="0" xfId="0" applyBorder="1" applyAlignment="1" applyProtection="1">
      <alignment horizontal="center" vertical="top"/>
    </xf>
    <xf numFmtId="0" fontId="0" fillId="0" borderId="18" xfId="0" applyBorder="1" applyAlignment="1" applyProtection="1">
      <alignment horizontal="center" vertical="center" shrinkToFit="1"/>
    </xf>
    <xf numFmtId="0" fontId="3" fillId="0" borderId="19" xfId="0" applyFont="1" applyBorder="1" applyAlignment="1" applyProtection="1">
      <alignment horizontal="center" vertical="center" shrinkToFit="1"/>
    </xf>
    <xf numFmtId="177" fontId="5" fillId="0" borderId="19" xfId="0" applyNumberFormat="1" applyFont="1" applyBorder="1" applyAlignment="1" applyProtection="1">
      <alignment horizontal="center" vertical="center" shrinkToFit="1"/>
    </xf>
    <xf numFmtId="181" fontId="0" fillId="0" borderId="0" xfId="0" applyNumberFormat="1" applyBorder="1" applyAlignment="1" applyProtection="1">
      <alignment horizontal="center" vertical="center" shrinkToFit="1"/>
    </xf>
    <xf numFmtId="0" fontId="0" fillId="0" borderId="0" xfId="0" applyBorder="1">
      <alignment vertical="center"/>
    </xf>
    <xf numFmtId="0" fontId="0" fillId="0" borderId="18" xfId="0" applyBorder="1" applyAlignment="1" applyProtection="1">
      <alignment horizontal="center" vertical="top"/>
    </xf>
    <xf numFmtId="0" fontId="2" fillId="0" borderId="9" xfId="0" applyFont="1" applyBorder="1" applyAlignment="1" applyProtection="1">
      <alignment horizontal="center" vertical="center"/>
    </xf>
    <xf numFmtId="180" fontId="2" fillId="0" borderId="9" xfId="0" applyNumberFormat="1" applyFont="1" applyBorder="1" applyAlignment="1" applyProtection="1">
      <alignment horizontal="center" vertical="center" shrinkToFit="1"/>
    </xf>
    <xf numFmtId="0" fontId="2" fillId="0" borderId="9" xfId="0" applyNumberFormat="1" applyFont="1" applyBorder="1" applyAlignment="1" applyProtection="1">
      <alignment horizontal="right" vertical="center" shrinkToFit="1"/>
    </xf>
    <xf numFmtId="181" fontId="2" fillId="0" borderId="9" xfId="0" applyNumberFormat="1" applyFont="1" applyBorder="1" applyAlignment="1" applyProtection="1">
      <alignment horizontal="right" vertical="center" shrinkToFit="1"/>
    </xf>
    <xf numFmtId="179" fontId="2" fillId="0" borderId="9" xfId="0" applyNumberFormat="1" applyFont="1" applyBorder="1" applyAlignment="1" applyProtection="1">
      <alignment horizontal="left" vertical="center" shrinkToFit="1"/>
    </xf>
    <xf numFmtId="0" fontId="1" fillId="0" borderId="0" xfId="0" applyFont="1" applyBorder="1" applyAlignment="1" applyProtection="1">
      <alignment horizontal="center" vertical="center" wrapText="1"/>
    </xf>
    <xf numFmtId="0" fontId="1" fillId="0" borderId="0" xfId="0" applyFont="1" applyBorder="1" applyAlignment="1" applyProtection="1">
      <alignment horizontal="center" vertical="center"/>
    </xf>
    <xf numFmtId="0" fontId="0" fillId="0" borderId="0" xfId="0" applyAlignment="1" applyProtection="1">
      <alignment horizontal="center" vertical="center"/>
    </xf>
    <xf numFmtId="0" fontId="2" fillId="0" borderId="0" xfId="0" applyFont="1" applyAlignment="1" applyProtection="1">
      <alignment horizontal="left" vertical="center"/>
    </xf>
    <xf numFmtId="0" fontId="0" fillId="0" borderId="0" xfId="0" applyProtection="1">
      <alignment vertical="center"/>
    </xf>
    <xf numFmtId="0" fontId="0" fillId="0" borderId="0" xfId="0" applyAlignment="1">
      <alignment horizontal="left" vertical="center"/>
    </xf>
    <xf numFmtId="0" fontId="3" fillId="0" borderId="0" xfId="0" applyFont="1" applyAlignment="1">
      <alignment vertical="center" wrapText="1"/>
    </xf>
    <xf numFmtId="0" fontId="0" fillId="0" borderId="0" xfId="0" applyAlignment="1">
      <alignment horizontal="center" vertical="center" wrapText="1"/>
    </xf>
    <xf numFmtId="49" fontId="0" fillId="0" borderId="0" xfId="0" applyNumberFormat="1" applyAlignment="1">
      <alignment horizontal="center" vertical="center" wrapText="1"/>
    </xf>
    <xf numFmtId="0" fontId="0" fillId="0" borderId="0" xfId="0" applyAlignment="1">
      <alignment vertical="center" wrapText="1"/>
    </xf>
    <xf numFmtId="0" fontId="2" fillId="0" borderId="0" xfId="0" applyFont="1" applyAlignment="1">
      <alignment horizontal="left" vertical="center"/>
    </xf>
    <xf numFmtId="49" fontId="0" fillId="0" borderId="0" xfId="0" applyNumberFormat="1" applyAlignment="1">
      <alignment horizontal="left" vertical="center"/>
    </xf>
    <xf numFmtId="0" fontId="23" fillId="0" borderId="0" xfId="0" applyFont="1" applyAlignment="1">
      <alignment horizontal="left" vertical="center"/>
    </xf>
    <xf numFmtId="0" fontId="0" fillId="0" borderId="0" xfId="0" applyFont="1" applyAlignment="1">
      <alignment horizontal="left" vertical="center"/>
    </xf>
    <xf numFmtId="0" fontId="24" fillId="0" borderId="0" xfId="6" applyAlignment="1">
      <alignment horizontal="left" vertical="center"/>
    </xf>
    <xf numFmtId="0" fontId="25" fillId="0" borderId="0" xfId="0" applyFont="1" applyAlignment="1">
      <alignment horizontal="center" vertical="center" wrapText="1"/>
    </xf>
    <xf numFmtId="49" fontId="25" fillId="0" borderId="0" xfId="0" applyNumberFormat="1" applyFont="1" applyAlignment="1">
      <alignment horizontal="center" vertical="center" wrapText="1"/>
    </xf>
    <xf numFmtId="0" fontId="3" fillId="0" borderId="7" xfId="0" applyFont="1" applyBorder="1" applyAlignment="1">
      <alignment horizontal="center" vertical="center" wrapText="1"/>
    </xf>
    <xf numFmtId="49" fontId="3" fillId="0" borderId="7" xfId="0" applyNumberFormat="1" applyFont="1" applyBorder="1" applyAlignment="1">
      <alignment horizontal="center" vertical="center" wrapText="1"/>
    </xf>
    <xf numFmtId="0" fontId="0" fillId="0" borderId="7" xfId="0" applyBorder="1" applyAlignment="1">
      <alignment horizontal="center" vertical="center" wrapText="1"/>
    </xf>
    <xf numFmtId="49" fontId="5" fillId="0" borderId="7" xfId="0" applyNumberFormat="1" applyFont="1" applyBorder="1" applyAlignment="1">
      <alignment horizontal="center" vertical="center" wrapText="1"/>
    </xf>
    <xf numFmtId="0" fontId="5" fillId="0" borderId="7" xfId="0" applyFont="1" applyBorder="1" applyAlignment="1">
      <alignment horizontal="center" vertical="center" wrapText="1"/>
    </xf>
    <xf numFmtId="49" fontId="0" fillId="0" borderId="7" xfId="0" applyNumberFormat="1" applyBorder="1" applyAlignment="1">
      <alignment horizontal="center" vertical="center" wrapText="1"/>
    </xf>
    <xf numFmtId="0" fontId="0" fillId="0" borderId="0" xfId="0" applyAlignment="1">
      <alignment horizontal="right" vertical="center"/>
    </xf>
    <xf numFmtId="0" fontId="26" fillId="0" borderId="0" xfId="0" applyFont="1" applyBorder="1" applyAlignment="1">
      <alignment horizontal="center" vertical="center"/>
    </xf>
    <xf numFmtId="0" fontId="26" fillId="0" borderId="0" xfId="0" applyFont="1" applyBorder="1" applyAlignment="1">
      <alignment horizontal="right" vertical="center"/>
    </xf>
    <xf numFmtId="0" fontId="3" fillId="0" borderId="0" xfId="0" applyFont="1" applyBorder="1" applyAlignment="1">
      <alignment horizontal="right" vertical="center" shrinkToFit="1"/>
    </xf>
    <xf numFmtId="0" fontId="3" fillId="0" borderId="0" xfId="0" applyFont="1" applyBorder="1" applyAlignment="1">
      <alignment horizontal="left" vertical="center" shrinkToFit="1"/>
    </xf>
    <xf numFmtId="0" fontId="3" fillId="0" borderId="0" xfId="0" applyFont="1" applyBorder="1" applyAlignment="1">
      <alignment vertical="center" shrinkToFit="1"/>
    </xf>
    <xf numFmtId="0" fontId="27" fillId="0" borderId="30" xfId="0" applyFont="1" applyBorder="1" applyAlignment="1">
      <alignment horizontal="left" vertical="center" shrinkToFit="1"/>
    </xf>
    <xf numFmtId="0" fontId="27" fillId="0" borderId="31" xfId="0" applyFont="1" applyBorder="1" applyAlignment="1">
      <alignment horizontal="left" vertical="center" shrinkToFit="1"/>
    </xf>
    <xf numFmtId="0" fontId="3" fillId="0" borderId="31" xfId="0" applyFont="1" applyBorder="1" applyAlignment="1">
      <alignment horizontal="left" vertical="center" shrinkToFit="1"/>
    </xf>
    <xf numFmtId="0" fontId="3" fillId="0" borderId="32" xfId="0" applyFont="1" applyBorder="1" applyAlignment="1">
      <alignment horizontal="left" vertical="center" shrinkToFit="1"/>
    </xf>
    <xf numFmtId="0" fontId="27" fillId="0" borderId="33" xfId="0" applyFont="1" applyBorder="1" applyAlignment="1">
      <alignment vertical="center" shrinkToFit="1"/>
    </xf>
    <xf numFmtId="0" fontId="3" fillId="0" borderId="32" xfId="0" applyFont="1" applyBorder="1" applyAlignment="1">
      <alignment vertical="center" shrinkToFit="1"/>
    </xf>
    <xf numFmtId="0" fontId="3" fillId="0" borderId="33" xfId="0" applyFont="1" applyBorder="1" applyAlignment="1">
      <alignment vertical="center" shrinkToFit="1"/>
    </xf>
    <xf numFmtId="0" fontId="3" fillId="0" borderId="31" xfId="0" applyFont="1" applyBorder="1" applyAlignment="1">
      <alignment horizontal="right" vertical="center" shrinkToFit="1"/>
    </xf>
    <xf numFmtId="0" fontId="3" fillId="0" borderId="34" xfId="0" applyFont="1" applyBorder="1" applyAlignment="1">
      <alignment horizontal="left" vertical="center" shrinkToFit="1"/>
    </xf>
    <xf numFmtId="0" fontId="28" fillId="2" borderId="30" xfId="0" applyFont="1" applyFill="1" applyBorder="1" applyAlignment="1"/>
    <xf numFmtId="0" fontId="29" fillId="2" borderId="31" xfId="0" applyFont="1" applyFill="1" applyBorder="1" applyAlignment="1"/>
    <xf numFmtId="0" fontId="28" fillId="2" borderId="31" xfId="0" applyFont="1" applyFill="1" applyBorder="1" applyAlignment="1"/>
    <xf numFmtId="0" fontId="28" fillId="2" borderId="34" xfId="0" applyFont="1" applyFill="1" applyBorder="1" applyAlignment="1"/>
    <xf numFmtId="0" fontId="2" fillId="0" borderId="35"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2" xfId="0" applyFont="1" applyBorder="1" applyAlignment="1">
      <alignment horizontal="left" vertical="center" shrinkToFit="1"/>
    </xf>
    <xf numFmtId="0" fontId="0" fillId="0" borderId="20" xfId="0" applyBorder="1" applyAlignment="1">
      <alignment horizontal="left" vertical="center" shrinkToFit="1"/>
    </xf>
    <xf numFmtId="0" fontId="0" fillId="0" borderId="22" xfId="0" applyBorder="1" applyAlignment="1">
      <alignment horizontal="left" vertical="center" shrinkToFit="1"/>
    </xf>
    <xf numFmtId="0" fontId="0" fillId="0" borderId="21" xfId="0" applyBorder="1" applyAlignment="1">
      <alignment horizontal="left" vertical="center" shrinkToFit="1"/>
    </xf>
    <xf numFmtId="0" fontId="0" fillId="0" borderId="21" xfId="0" applyBorder="1" applyAlignment="1">
      <alignment horizontal="right" vertical="center" shrinkToFit="1"/>
    </xf>
    <xf numFmtId="0" fontId="0" fillId="0" borderId="22" xfId="0" applyBorder="1" applyAlignment="1">
      <alignment vertical="center" shrinkToFit="1"/>
    </xf>
    <xf numFmtId="0" fontId="0" fillId="0" borderId="36" xfId="0" applyBorder="1" applyAlignment="1">
      <alignment horizontal="left" vertical="center" shrinkToFit="1"/>
    </xf>
    <xf numFmtId="0" fontId="28" fillId="2" borderId="37" xfId="0" applyFont="1" applyFill="1" applyBorder="1" applyAlignment="1">
      <alignment vertical="center"/>
    </xf>
    <xf numFmtId="0" fontId="29" fillId="2" borderId="0" xfId="0" applyFont="1" applyFill="1" applyAlignment="1">
      <alignment horizontal="center" vertical="center"/>
    </xf>
    <xf numFmtId="0" fontId="29" fillId="2" borderId="0" xfId="0" applyFont="1" applyFill="1" applyAlignment="1">
      <alignment vertical="center"/>
    </xf>
    <xf numFmtId="0" fontId="28" fillId="2" borderId="0" xfId="0" applyFont="1" applyFill="1" applyAlignment="1">
      <alignment vertical="center"/>
    </xf>
    <xf numFmtId="0" fontId="28" fillId="2" borderId="38" xfId="0" applyFont="1" applyFill="1" applyBorder="1" applyAlignment="1"/>
    <xf numFmtId="0" fontId="27" fillId="0" borderId="39" xfId="0" applyFont="1" applyBorder="1" applyAlignment="1">
      <alignment horizontal="left" vertical="center" shrinkToFit="1"/>
    </xf>
    <xf numFmtId="0" fontId="27" fillId="0" borderId="16" xfId="0" applyFont="1" applyBorder="1" applyAlignment="1">
      <alignment horizontal="left" vertical="center" shrinkToFit="1"/>
    </xf>
    <xf numFmtId="0" fontId="3" fillId="0" borderId="16" xfId="0" applyFont="1" applyBorder="1" applyAlignment="1">
      <alignment vertical="center" shrinkToFit="1"/>
    </xf>
    <xf numFmtId="0" fontId="3" fillId="0" borderId="17" xfId="0" applyFont="1" applyBorder="1" applyAlignment="1">
      <alignment horizontal="left" vertical="center" shrinkToFit="1"/>
    </xf>
    <xf numFmtId="0" fontId="3" fillId="0" borderId="15" xfId="0" applyFont="1" applyBorder="1" applyAlignment="1">
      <alignment vertical="center" shrinkToFit="1"/>
    </xf>
    <xf numFmtId="0" fontId="3" fillId="0" borderId="17" xfId="0" applyFont="1" applyBorder="1" applyAlignment="1">
      <alignment vertical="center" shrinkToFit="1"/>
    </xf>
    <xf numFmtId="0" fontId="3" fillId="0" borderId="15" xfId="0" applyFont="1" applyBorder="1" applyAlignment="1">
      <alignment horizontal="left" vertical="center" shrinkToFit="1"/>
    </xf>
    <xf numFmtId="0" fontId="3" fillId="0" borderId="16" xfId="0" applyFont="1" applyBorder="1" applyAlignment="1">
      <alignment horizontal="left" vertical="center" shrinkToFit="1"/>
    </xf>
    <xf numFmtId="0" fontId="3" fillId="0" borderId="16" xfId="0" applyFont="1" applyBorder="1" applyAlignment="1">
      <alignment horizontal="right" vertical="center" shrinkToFit="1"/>
    </xf>
    <xf numFmtId="0" fontId="3" fillId="0" borderId="40" xfId="0" applyFont="1" applyBorder="1" applyAlignment="1">
      <alignment horizontal="left" vertical="center" shrinkToFit="1"/>
    </xf>
    <xf numFmtId="0" fontId="28" fillId="2" borderId="37" xfId="0" applyFont="1" applyFill="1" applyBorder="1" applyAlignment="1"/>
    <xf numFmtId="0" fontId="28" fillId="2" borderId="0" xfId="0" applyFont="1" applyFill="1" applyAlignment="1"/>
    <xf numFmtId="0" fontId="27" fillId="0" borderId="15" xfId="0" applyFont="1" applyBorder="1" applyAlignment="1">
      <alignment vertical="center" shrinkToFit="1"/>
    </xf>
    <xf numFmtId="0" fontId="2" fillId="0" borderId="20" xfId="0" applyFont="1" applyBorder="1" applyAlignment="1">
      <alignment horizontal="left" vertical="center" shrinkToFit="1"/>
    </xf>
    <xf numFmtId="0" fontId="2" fillId="0" borderId="21" xfId="0" applyFont="1" applyBorder="1" applyAlignment="1">
      <alignment horizontal="right" vertical="center" shrinkToFit="1"/>
    </xf>
    <xf numFmtId="0" fontId="23" fillId="0" borderId="20" xfId="0" applyFont="1" applyBorder="1" applyAlignment="1">
      <alignment horizontal="left" vertical="center" shrinkToFit="1"/>
    </xf>
    <xf numFmtId="0" fontId="23" fillId="0" borderId="22" xfId="0" applyFont="1" applyBorder="1" applyAlignment="1">
      <alignment horizontal="left" vertical="center" shrinkToFit="1"/>
    </xf>
    <xf numFmtId="0" fontId="27" fillId="0" borderId="6" xfId="0" applyFont="1" applyBorder="1" applyAlignment="1">
      <alignment vertical="center" shrinkToFit="1"/>
    </xf>
    <xf numFmtId="0" fontId="27" fillId="0" borderId="11" xfId="0" applyFont="1" applyBorder="1" applyAlignment="1">
      <alignment vertical="center" shrinkToFit="1"/>
    </xf>
    <xf numFmtId="0" fontId="27" fillId="0" borderId="15" xfId="0" applyFont="1" applyBorder="1" applyAlignment="1">
      <alignment horizontal="left" vertical="center" shrinkToFit="1"/>
    </xf>
    <xf numFmtId="0" fontId="27" fillId="0" borderId="17" xfId="0" applyFont="1" applyBorder="1" applyAlignment="1">
      <alignment horizontal="left" vertical="center" shrinkToFit="1"/>
    </xf>
    <xf numFmtId="0" fontId="27" fillId="0" borderId="15" xfId="0" applyFont="1" applyBorder="1" applyAlignment="1">
      <alignment horizontal="right" vertical="center" shrinkToFit="1"/>
    </xf>
    <xf numFmtId="0" fontId="27" fillId="0" borderId="16" xfId="0" applyFont="1" applyBorder="1" applyAlignment="1">
      <alignment vertical="center" shrinkToFit="1"/>
    </xf>
    <xf numFmtId="0" fontId="3" fillId="0" borderId="16" xfId="0" applyFont="1" applyBorder="1" applyAlignment="1">
      <alignment horizontal="center" vertical="center" shrinkToFit="1"/>
    </xf>
    <xf numFmtId="0" fontId="3" fillId="0" borderId="40" xfId="0" applyFont="1" applyBorder="1" applyAlignment="1">
      <alignment horizontal="center" vertical="center" shrinkToFit="1"/>
    </xf>
    <xf numFmtId="0" fontId="28" fillId="2" borderId="41" xfId="0" applyFont="1" applyFill="1" applyBorder="1" applyAlignment="1"/>
    <xf numFmtId="0" fontId="28" fillId="2" borderId="42" xfId="0" applyFont="1" applyFill="1" applyBorder="1" applyAlignment="1"/>
    <xf numFmtId="0" fontId="28" fillId="2" borderId="43" xfId="0" applyFont="1" applyFill="1" applyBorder="1" applyAlignment="1"/>
    <xf numFmtId="0" fontId="2" fillId="0" borderId="5" xfId="0" applyFont="1" applyBorder="1" applyAlignment="1">
      <alignment horizontal="left" vertical="center" shrinkToFit="1"/>
    </xf>
    <xf numFmtId="0" fontId="2" fillId="0" borderId="36" xfId="0" applyFont="1" applyBorder="1" applyAlignment="1">
      <alignment horizontal="left" vertical="center" shrinkToFit="1"/>
    </xf>
    <xf numFmtId="0" fontId="27" fillId="0" borderId="0" xfId="0" applyFont="1" applyAlignment="1">
      <alignment horizontal="right" vertical="center"/>
    </xf>
    <xf numFmtId="0" fontId="3" fillId="0" borderId="39" xfId="0" applyFont="1" applyBorder="1">
      <alignment vertical="center"/>
    </xf>
    <xf numFmtId="0" fontId="3" fillId="0" borderId="16" xfId="0" applyFont="1" applyBorder="1">
      <alignment vertical="center"/>
    </xf>
    <xf numFmtId="0" fontId="3" fillId="0" borderId="16" xfId="0" applyFont="1" applyBorder="1" applyAlignment="1">
      <alignment horizontal="left" vertical="center"/>
    </xf>
    <xf numFmtId="0" fontId="3" fillId="0" borderId="40" xfId="0" applyFont="1" applyBorder="1" applyAlignment="1">
      <alignment horizontal="left" vertical="center"/>
    </xf>
    <xf numFmtId="0" fontId="27" fillId="0" borderId="41" xfId="0" applyFont="1" applyBorder="1" applyAlignment="1">
      <alignment horizontal="right" vertical="center"/>
    </xf>
    <xf numFmtId="0" fontId="27" fillId="0" borderId="42" xfId="0" applyFont="1" applyBorder="1" applyAlignment="1">
      <alignment horizontal="right" vertical="center"/>
    </xf>
    <xf numFmtId="0" fontId="27" fillId="0" borderId="42" xfId="0" applyFont="1" applyBorder="1" applyAlignment="1">
      <alignment horizontal="left" vertical="center"/>
    </xf>
    <xf numFmtId="0" fontId="27" fillId="0" borderId="43" xfId="0" applyFont="1" applyBorder="1" applyAlignment="1">
      <alignment horizontal="left" vertical="center"/>
    </xf>
    <xf numFmtId="0" fontId="3" fillId="0" borderId="37" xfId="0" applyFont="1" applyBorder="1">
      <alignment vertical="center"/>
    </xf>
    <xf numFmtId="0" fontId="3" fillId="0" borderId="0" xfId="0" applyFont="1" applyBorder="1">
      <alignment vertical="center"/>
    </xf>
    <xf numFmtId="0" fontId="3" fillId="0" borderId="0" xfId="0" applyFont="1" applyBorder="1" applyAlignment="1">
      <alignment horizontal="left" vertical="center"/>
    </xf>
    <xf numFmtId="0" fontId="3" fillId="0" borderId="38" xfId="0" applyFont="1" applyBorder="1" applyAlignment="1">
      <alignment horizontal="left" vertical="center"/>
    </xf>
    <xf numFmtId="0" fontId="3" fillId="0" borderId="0" xfId="0" applyFont="1" applyAlignment="1">
      <alignment horizontal="right" vertical="center"/>
    </xf>
    <xf numFmtId="0" fontId="30" fillId="0" borderId="0" xfId="6" applyFont="1" applyAlignment="1">
      <alignment horizontal="left" vertical="center"/>
    </xf>
    <xf numFmtId="0" fontId="0" fillId="0" borderId="38" xfId="0" applyBorder="1" applyAlignment="1">
      <alignment horizontal="left" vertical="center"/>
    </xf>
    <xf numFmtId="0" fontId="0" fillId="0" borderId="37" xfId="0" applyBorder="1" applyAlignment="1">
      <alignment horizontal="left" vertical="center"/>
    </xf>
    <xf numFmtId="0" fontId="0" fillId="0" borderId="0" xfId="0" applyBorder="1" applyAlignment="1">
      <alignment horizontal="left" vertical="center"/>
    </xf>
    <xf numFmtId="0" fontId="0" fillId="0" borderId="0" xfId="0" applyFont="1" applyBorder="1" applyAlignment="1">
      <alignment horizontal="right" vertical="center"/>
    </xf>
    <xf numFmtId="0" fontId="3" fillId="0" borderId="44" xfId="0" applyFont="1" applyBorder="1">
      <alignment vertical="center"/>
    </xf>
    <xf numFmtId="0" fontId="0" fillId="0" borderId="31" xfId="0" applyBorder="1">
      <alignment vertical="center"/>
    </xf>
    <xf numFmtId="0" fontId="0" fillId="0" borderId="34" xfId="0" applyBorder="1">
      <alignment vertical="center"/>
    </xf>
    <xf numFmtId="0" fontId="27" fillId="0" borderId="0" xfId="0" applyFont="1" applyAlignment="1">
      <alignment horizontal="left" vertical="center"/>
    </xf>
    <xf numFmtId="0" fontId="31" fillId="0" borderId="45" xfId="0" applyFont="1" applyBorder="1">
      <alignment vertical="center"/>
    </xf>
    <xf numFmtId="0" fontId="31" fillId="0" borderId="46" xfId="0" applyFont="1" applyBorder="1">
      <alignment vertical="center"/>
    </xf>
    <xf numFmtId="0" fontId="31" fillId="0" borderId="13" xfId="0" applyFont="1" applyBorder="1" applyAlignment="1">
      <alignment horizontal="left" vertical="center"/>
    </xf>
    <xf numFmtId="0" fontId="31" fillId="0" borderId="47" xfId="0" applyFont="1" applyBorder="1" applyAlignment="1">
      <alignment horizontal="right" vertical="center"/>
    </xf>
    <xf numFmtId="0" fontId="31" fillId="0" borderId="46" xfId="0" applyFont="1" applyBorder="1" applyAlignment="1">
      <alignment horizontal="right" vertical="center"/>
    </xf>
    <xf numFmtId="0" fontId="4" fillId="0" borderId="48" xfId="0" applyFont="1" applyBorder="1">
      <alignment vertical="center"/>
    </xf>
    <xf numFmtId="0" fontId="32" fillId="0" borderId="46" xfId="0" applyFont="1" applyBorder="1" applyAlignment="1">
      <alignment horizontal="center" vertical="center"/>
    </xf>
    <xf numFmtId="0" fontId="32" fillId="0" borderId="49" xfId="0" applyFont="1" applyBorder="1" applyAlignment="1">
      <alignment horizontal="center" vertical="center"/>
    </xf>
    <xf numFmtId="0" fontId="5" fillId="0" borderId="49" xfId="0" applyFont="1" applyBorder="1" applyAlignment="1">
      <alignment horizontal="center" vertical="center" shrinkToFit="1"/>
    </xf>
    <xf numFmtId="0" fontId="5" fillId="0" borderId="44" xfId="0" applyFont="1" applyBorder="1" applyAlignment="1">
      <alignment horizontal="center" vertical="center" shrinkToFit="1"/>
    </xf>
    <xf numFmtId="0" fontId="3" fillId="0" borderId="20" xfId="0" applyFont="1" applyBorder="1" applyAlignment="1">
      <alignment horizontal="center" vertical="center"/>
    </xf>
    <xf numFmtId="0" fontId="27" fillId="0" borderId="21" xfId="0" applyFont="1" applyBorder="1" applyAlignment="1">
      <alignment horizontal="center" vertical="center"/>
    </xf>
    <xf numFmtId="0" fontId="27" fillId="0" borderId="22" xfId="0" applyFont="1" applyBorder="1" applyAlignment="1">
      <alignment horizontal="center" vertical="center"/>
    </xf>
    <xf numFmtId="0" fontId="3" fillId="0" borderId="38" xfId="0" applyFont="1" applyBorder="1" applyAlignment="1">
      <alignment horizontal="center" vertical="center" shrinkToFit="1"/>
    </xf>
    <xf numFmtId="0" fontId="3" fillId="0" borderId="50" xfId="0" applyFont="1" applyBorder="1" applyAlignment="1">
      <alignment horizontal="center" vertical="center" shrinkToFit="1"/>
    </xf>
    <xf numFmtId="0" fontId="0" fillId="0" borderId="18" xfId="0" applyBorder="1" applyAlignment="1">
      <alignment horizontal="center" vertical="center" shrinkToFit="1"/>
    </xf>
    <xf numFmtId="0" fontId="0" fillId="0" borderId="0" xfId="0" applyBorder="1" applyAlignment="1">
      <alignment horizontal="left" vertical="center" shrinkToFit="1"/>
    </xf>
    <xf numFmtId="0" fontId="0" fillId="0" borderId="0" xfId="0" applyBorder="1" applyAlignment="1">
      <alignment horizontal="center" vertical="center" shrinkToFit="1"/>
    </xf>
    <xf numFmtId="0" fontId="0" fillId="0" borderId="0" xfId="0" applyBorder="1" applyAlignment="1">
      <alignment vertical="center" shrinkToFit="1"/>
    </xf>
    <xf numFmtId="0" fontId="0" fillId="0" borderId="0" xfId="0" applyAlignment="1">
      <alignment horizontal="right" vertical="center" shrinkToFit="1"/>
    </xf>
    <xf numFmtId="0" fontId="0" fillId="0" borderId="0" xfId="0" applyAlignment="1">
      <alignment horizontal="center" vertical="center" shrinkToFit="1"/>
    </xf>
    <xf numFmtId="0" fontId="2" fillId="0" borderId="0" xfId="0" applyFont="1" applyAlignment="1">
      <alignment horizontal="center" vertical="center" shrinkToFit="1"/>
    </xf>
    <xf numFmtId="0" fontId="0" fillId="0" borderId="19" xfId="0" applyBorder="1" applyAlignment="1">
      <alignment vertical="center" shrinkToFit="1"/>
    </xf>
    <xf numFmtId="0" fontId="0" fillId="0" borderId="10" xfId="0" applyBorder="1" applyAlignment="1">
      <alignment horizontal="center" vertical="center" shrinkToFit="1"/>
    </xf>
    <xf numFmtId="0" fontId="0" fillId="0" borderId="7" xfId="0" applyBorder="1" applyAlignment="1">
      <alignment horizontal="center" vertical="center" shrinkToFit="1"/>
    </xf>
    <xf numFmtId="0" fontId="33" fillId="0" borderId="0" xfId="0" applyFont="1" applyAlignment="1">
      <alignment horizontal="left" vertical="center" shrinkToFit="1"/>
    </xf>
    <xf numFmtId="0" fontId="3" fillId="0" borderId="0" xfId="0" applyFont="1" applyAlignment="1">
      <alignment horizontal="left" vertical="center" wrapText="1" shrinkToFit="1"/>
    </xf>
    <xf numFmtId="0" fontId="0" fillId="0" borderId="0" xfId="0" applyAlignment="1">
      <alignment vertical="center" shrinkToFit="1"/>
    </xf>
    <xf numFmtId="0" fontId="3" fillId="0" borderId="20" xfId="0" applyFont="1" applyBorder="1" applyAlignment="1">
      <alignment horizontal="center" vertical="center" shrinkToFit="1"/>
    </xf>
    <xf numFmtId="0" fontId="3" fillId="0" borderId="21" xfId="0" applyFont="1" applyBorder="1" applyAlignment="1">
      <alignment horizontal="left" vertical="center" wrapText="1" shrinkToFit="1"/>
    </xf>
    <xf numFmtId="0" fontId="0" fillId="0" borderId="21" xfId="0" applyBorder="1" applyAlignment="1">
      <alignment vertical="center" shrinkToFit="1"/>
    </xf>
    <xf numFmtId="0" fontId="0" fillId="0" borderId="21" xfId="0" applyBorder="1" applyAlignment="1">
      <alignment horizontal="center" vertical="center" shrinkToFit="1"/>
    </xf>
    <xf numFmtId="0" fontId="0" fillId="0" borderId="0" xfId="0" applyAlignment="1">
      <alignment horizontal="left" vertical="center" shrinkToFit="1"/>
    </xf>
    <xf numFmtId="0" fontId="34" fillId="0" borderId="0" xfId="0" applyFont="1">
      <alignment vertical="center"/>
    </xf>
    <xf numFmtId="0" fontId="35" fillId="0" borderId="0" xfId="0" applyFont="1">
      <alignment vertical="center"/>
    </xf>
    <xf numFmtId="0" fontId="0" fillId="3" borderId="7" xfId="0" applyFill="1" applyBorder="1">
      <alignment vertical="center"/>
    </xf>
    <xf numFmtId="0" fontId="0" fillId="3" borderId="7" xfId="0" applyFill="1" applyBorder="1" applyAlignment="1">
      <alignment vertical="center" wrapText="1"/>
    </xf>
    <xf numFmtId="0" fontId="0" fillId="3" borderId="0" xfId="0" applyFill="1">
      <alignment vertical="center"/>
    </xf>
    <xf numFmtId="0" fontId="33" fillId="3" borderId="7" xfId="0" applyFont="1" applyFill="1" applyBorder="1">
      <alignment vertical="center"/>
    </xf>
    <xf numFmtId="0" fontId="33" fillId="3" borderId="7" xfId="0" applyFont="1" applyFill="1" applyBorder="1" applyAlignment="1">
      <alignment vertical="center" wrapText="1"/>
    </xf>
    <xf numFmtId="0" fontId="0" fillId="3" borderId="7" xfId="0" applyFont="1" applyFill="1" applyBorder="1" applyAlignment="1">
      <alignment vertical="center" wrapText="1"/>
    </xf>
    <xf numFmtId="0" fontId="0" fillId="3" borderId="7" xfId="0" applyFont="1" applyFill="1" applyBorder="1">
      <alignment vertical="center"/>
    </xf>
    <xf numFmtId="0" fontId="2" fillId="3" borderId="7" xfId="0" applyFont="1" applyFill="1" applyBorder="1">
      <alignment vertical="center"/>
    </xf>
    <xf numFmtId="0" fontId="36" fillId="3" borderId="7" xfId="0" applyFont="1" applyFill="1" applyBorder="1" applyAlignment="1">
      <alignment vertical="center" wrapText="1"/>
    </xf>
    <xf numFmtId="0" fontId="26" fillId="0" borderId="21" xfId="0" applyFont="1" applyBorder="1" applyAlignment="1" applyProtection="1">
      <alignment horizontal="center" vertical="center"/>
      <protection locked="0"/>
    </xf>
    <xf numFmtId="0" fontId="37" fillId="0" borderId="9" xfId="0" applyFont="1" applyBorder="1" applyAlignment="1" applyProtection="1">
      <alignment horizontal="left" vertical="top" wrapText="1"/>
    </xf>
    <xf numFmtId="0" fontId="2" fillId="4" borderId="7" xfId="0" applyFont="1" applyFill="1" applyBorder="1" applyAlignment="1" applyProtection="1">
      <alignment horizontal="center" vertical="center"/>
      <protection locked="0"/>
    </xf>
    <xf numFmtId="0" fontId="0" fillId="0" borderId="7" xfId="0" applyBorder="1" applyProtection="1">
      <alignment vertical="center"/>
      <protection locked="0"/>
    </xf>
    <xf numFmtId="0" fontId="0" fillId="0" borderId="7" xfId="0" applyBorder="1" applyAlignment="1" applyProtection="1">
      <alignment vertical="center" wrapText="1"/>
      <protection locked="0"/>
    </xf>
    <xf numFmtId="0" fontId="0" fillId="0" borderId="7" xfId="0" applyFont="1" applyBorder="1" applyProtection="1">
      <alignment vertical="center"/>
      <protection locked="0"/>
    </xf>
    <xf numFmtId="0" fontId="0" fillId="0" borderId="7" xfId="0" applyFont="1" applyBorder="1" applyAlignment="1" applyProtection="1">
      <alignment vertical="center" wrapText="1"/>
      <protection locked="0"/>
    </xf>
    <xf numFmtId="0" fontId="0" fillId="0" borderId="7" xfId="0" applyFont="1" applyBorder="1" applyAlignment="1" applyProtection="1">
      <alignment horizontal="left" vertical="center" wrapText="1"/>
      <protection locked="0"/>
    </xf>
    <xf numFmtId="0" fontId="37" fillId="0" borderId="0" xfId="0" applyFont="1" applyAlignment="1" applyProtection="1">
      <alignment horizontal="right" vertical="center"/>
    </xf>
    <xf numFmtId="0" fontId="37" fillId="0" borderId="0" xfId="0" applyFont="1" applyProtection="1">
      <alignment vertical="center"/>
    </xf>
    <xf numFmtId="0" fontId="37"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22</xdr:col>
      <xdr:colOff>85725</xdr:colOff>
      <xdr:row>18</xdr:row>
      <xdr:rowOff>19050</xdr:rowOff>
    </xdr:from>
    <xdr:to>
      <xdr:col>33</xdr:col>
      <xdr:colOff>38100</xdr:colOff>
      <xdr:row>34</xdr:row>
      <xdr:rowOff>133350</xdr:rowOff>
    </xdr:to>
    <xdr:pic>
      <xdr:nvPicPr>
        <xdr:cNvPr id="22574" name="图片 1"/>
        <xdr:cNvPicPr>
          <a:picLocks noChangeAspect="1" noChangeArrowheads="1"/>
        </xdr:cNvPicPr>
      </xdr:nvPicPr>
      <xdr:blipFill>
        <a:blip r:embed="rId1"/>
        <a:srcRect/>
        <a:stretch>
          <a:fillRect/>
        </a:stretch>
      </xdr:blipFill>
      <xdr:spPr>
        <a:xfrm>
          <a:off x="13544550" y="3324225"/>
          <a:ext cx="7496175" cy="29813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114300</xdr:colOff>
      <xdr:row>0</xdr:row>
      <xdr:rowOff>19050</xdr:rowOff>
    </xdr:from>
    <xdr:to>
      <xdr:col>19</xdr:col>
      <xdr:colOff>561975</xdr:colOff>
      <xdr:row>45</xdr:row>
      <xdr:rowOff>161925</xdr:rowOff>
    </xdr:to>
    <xdr:pic>
      <xdr:nvPicPr>
        <xdr:cNvPr id="23598" name="图片 1" descr="MINM9TB(6DQB{[LH}I[D653"/>
        <xdr:cNvPicPr>
          <a:picLocks noChangeAspect="1" noChangeArrowheads="1"/>
        </xdr:cNvPicPr>
      </xdr:nvPicPr>
      <xdr:blipFill>
        <a:blip r:embed="rId1"/>
        <a:srcRect/>
        <a:stretch>
          <a:fillRect/>
        </a:stretch>
      </xdr:blipFill>
      <xdr:spPr>
        <a:xfrm>
          <a:off x="12249150" y="19050"/>
          <a:ext cx="7305675" cy="84010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6</xdr:col>
      <xdr:colOff>9525</xdr:colOff>
      <xdr:row>7</xdr:row>
      <xdr:rowOff>140970</xdr:rowOff>
    </xdr:from>
    <xdr:to>
      <xdr:col>7</xdr:col>
      <xdr:colOff>733425</xdr:colOff>
      <xdr:row>8</xdr:row>
      <xdr:rowOff>66675</xdr:rowOff>
    </xdr:to>
    <xdr:sp>
      <xdr:nvSpPr>
        <xdr:cNvPr id="24669" name="Line 1033"/>
        <xdr:cNvSpPr>
          <a:spLocks noChangeShapeType="1"/>
        </xdr:cNvSpPr>
      </xdr:nvSpPr>
      <xdr:spPr>
        <a:xfrm rot="-180000">
          <a:off x="5619750" y="1804035"/>
          <a:ext cx="1171575" cy="66675"/>
        </a:xfrm>
        <a:prstGeom prst="line">
          <a:avLst/>
        </a:prstGeom>
        <a:noFill/>
        <a:ln w="9525">
          <a:solidFill>
            <a:srgbClr val="000000"/>
          </a:solidFill>
          <a:round/>
        </a:ln>
        <a:effectLst>
          <a:outerShdw dist="35921" dir="2700000" algn="ctr" rotWithShape="0">
            <a:srgbClr val="000000"/>
          </a:outerShdw>
        </a:effectLst>
      </xdr:spPr>
      <xdr:txBody>
        <a:bodyPr/>
        <a:lstStyle/>
        <a:p>
          <a:endParaRPr lang="zh-CN" altLang="en-US"/>
        </a:p>
      </xdr:txBody>
    </xdr:sp>
    <xdr:clientData/>
  </xdr:twoCellAnchor>
  <xdr:twoCellAnchor>
    <xdr:from>
      <xdr:col>6</xdr:col>
      <xdr:colOff>0</xdr:colOff>
      <xdr:row>10</xdr:row>
      <xdr:rowOff>0</xdr:rowOff>
    </xdr:from>
    <xdr:to>
      <xdr:col>7</xdr:col>
      <xdr:colOff>723900</xdr:colOff>
      <xdr:row>10</xdr:row>
      <xdr:rowOff>0</xdr:rowOff>
    </xdr:to>
    <xdr:sp>
      <xdr:nvSpPr>
        <xdr:cNvPr id="24670" name="Line 1034"/>
        <xdr:cNvSpPr>
          <a:spLocks noChangeShapeType="1"/>
        </xdr:cNvSpPr>
      </xdr:nvSpPr>
      <xdr:spPr>
        <a:xfrm>
          <a:off x="5610225" y="2185035"/>
          <a:ext cx="1171575" cy="0"/>
        </a:xfrm>
        <a:prstGeom prst="line">
          <a:avLst/>
        </a:prstGeom>
        <a:noFill/>
        <a:ln w="9525">
          <a:solidFill>
            <a:srgbClr val="000000"/>
          </a:solidFill>
          <a:round/>
        </a:ln>
        <a:effectLst>
          <a:outerShdw dist="35921" dir="2700000" algn="ctr" rotWithShape="0">
            <a:srgbClr val="000000"/>
          </a:outerShdw>
        </a:effectLst>
      </xdr:spPr>
      <xdr:txBody>
        <a:bodyPr/>
        <a:lstStyle/>
        <a:p>
          <a:endParaRPr lang="zh-CN" altLang="en-US"/>
        </a:p>
      </xdr:txBody>
    </xdr:sp>
    <xdr:clientData/>
  </xdr:twoCellAnchor>
  <xdr:twoCellAnchor>
    <xdr:from>
      <xdr:col>6</xdr:col>
      <xdr:colOff>57150</xdr:colOff>
      <xdr:row>6</xdr:row>
      <xdr:rowOff>0</xdr:rowOff>
    </xdr:from>
    <xdr:to>
      <xdr:col>7</xdr:col>
      <xdr:colOff>781050</xdr:colOff>
      <xdr:row>6</xdr:row>
      <xdr:rowOff>66675</xdr:rowOff>
    </xdr:to>
    <xdr:sp>
      <xdr:nvSpPr>
        <xdr:cNvPr id="24671" name="Line 1033"/>
        <xdr:cNvSpPr>
          <a:spLocks noChangeShapeType="1"/>
        </xdr:cNvSpPr>
      </xdr:nvSpPr>
      <xdr:spPr>
        <a:xfrm rot="-180000">
          <a:off x="5667375" y="1498600"/>
          <a:ext cx="1171575" cy="66675"/>
        </a:xfrm>
        <a:prstGeom prst="line">
          <a:avLst/>
        </a:prstGeom>
        <a:noFill/>
        <a:ln w="9525">
          <a:solidFill>
            <a:srgbClr val="000000"/>
          </a:solidFill>
          <a:round/>
        </a:ln>
        <a:effectLst>
          <a:outerShdw dist="35921" dir="2700000" algn="ctr" rotWithShape="0">
            <a:srgbClr val="000000"/>
          </a:outerShdw>
        </a:effectLst>
      </xdr:spPr>
      <xdr:txBody>
        <a:bodyPr/>
        <a:lstStyle/>
        <a:p>
          <a:endParaRPr lang="zh-CN" altLang="en-US"/>
        </a:p>
      </xdr:txBody>
    </xdr:sp>
    <xdr:clientData/>
  </xdr:twoCellAnchor>
  <xdr:twoCellAnchor>
    <xdr:from>
      <xdr:col>6</xdr:col>
      <xdr:colOff>19050</xdr:colOff>
      <xdr:row>12</xdr:row>
      <xdr:rowOff>28575</xdr:rowOff>
    </xdr:from>
    <xdr:to>
      <xdr:col>7</xdr:col>
      <xdr:colOff>742950</xdr:colOff>
      <xdr:row>12</xdr:row>
      <xdr:rowOff>28575</xdr:rowOff>
    </xdr:to>
    <xdr:sp>
      <xdr:nvSpPr>
        <xdr:cNvPr id="24672" name="Line 1034"/>
        <xdr:cNvSpPr>
          <a:spLocks noChangeShapeType="1"/>
        </xdr:cNvSpPr>
      </xdr:nvSpPr>
      <xdr:spPr>
        <a:xfrm>
          <a:off x="5629275" y="2511425"/>
          <a:ext cx="1171575" cy="0"/>
        </a:xfrm>
        <a:prstGeom prst="line">
          <a:avLst/>
        </a:prstGeom>
        <a:noFill/>
        <a:ln w="9525">
          <a:solidFill>
            <a:srgbClr val="000000"/>
          </a:solidFill>
          <a:round/>
        </a:ln>
        <a:effectLst>
          <a:outerShdw dist="35921" dir="2700000" algn="ctr" rotWithShape="0">
            <a:srgbClr val="000000"/>
          </a:outerShdw>
        </a:effectLst>
      </xdr:spPr>
      <xdr:txBody>
        <a:bodyPr/>
        <a:lstStyle/>
        <a:p>
          <a:endParaRPr lang="zh-CN" altLang="en-US"/>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19050</xdr:colOff>
      <xdr:row>47</xdr:row>
      <xdr:rowOff>95250</xdr:rowOff>
    </xdr:from>
    <xdr:to>
      <xdr:col>1</xdr:col>
      <xdr:colOff>704850</xdr:colOff>
      <xdr:row>48</xdr:row>
      <xdr:rowOff>47625</xdr:rowOff>
    </xdr:to>
    <xdr:pic>
      <xdr:nvPicPr>
        <xdr:cNvPr id="20577" name="图片 7"/>
        <xdr:cNvPicPr>
          <a:picLocks noChangeAspect="1" noChangeArrowheads="1"/>
        </xdr:cNvPicPr>
      </xdr:nvPicPr>
      <xdr:blipFill>
        <a:blip r:embed="rId1"/>
        <a:srcRect/>
        <a:stretch>
          <a:fillRect/>
        </a:stretch>
      </xdr:blipFill>
      <xdr:spPr>
        <a:xfrm>
          <a:off x="238125" y="8591550"/>
          <a:ext cx="685800" cy="245745"/>
        </a:xfrm>
        <a:prstGeom prst="rect">
          <a:avLst/>
        </a:prstGeom>
        <a:noFill/>
        <a:ln w="9525">
          <a:noFill/>
          <a:miter lim="800000"/>
          <a:headEnd/>
          <a:tailEnd/>
        </a:ln>
      </xdr:spPr>
    </xdr:pic>
    <xdr:clientData/>
  </xdr:twoCellAnchor>
  <xdr:twoCellAnchor>
    <xdr:from>
      <xdr:col>6</xdr:col>
      <xdr:colOff>428625</xdr:colOff>
      <xdr:row>4</xdr:row>
      <xdr:rowOff>0</xdr:rowOff>
    </xdr:from>
    <xdr:to>
      <xdr:col>8</xdr:col>
      <xdr:colOff>114300</xdr:colOff>
      <xdr:row>5</xdr:row>
      <xdr:rowOff>19050</xdr:rowOff>
    </xdr:to>
    <xdr:pic>
      <xdr:nvPicPr>
        <xdr:cNvPr id="20578" name="图片 8"/>
        <xdr:cNvPicPr>
          <a:picLocks noChangeAspect="1" noChangeArrowheads="1"/>
        </xdr:cNvPicPr>
      </xdr:nvPicPr>
      <xdr:blipFill>
        <a:blip r:embed="rId2"/>
        <a:srcRect/>
        <a:stretch>
          <a:fillRect/>
        </a:stretch>
      </xdr:blipFill>
      <xdr:spPr>
        <a:xfrm>
          <a:off x="3857625" y="685800"/>
          <a:ext cx="1714500" cy="2000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5" Type="http://schemas.openxmlformats.org/officeDocument/2006/relationships/hyperlink" Target="http://www.hscode.net/IntegrateQueries/QueryYS/" TargetMode="External"/><Relationship Id="rId4" Type="http://schemas.openxmlformats.org/officeDocument/2006/relationships/hyperlink" Target="https://e-service.shciq.gov.cn/shesp/" TargetMode="Externa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hyperlink" Target="http://www.hscode.net/IntegrateQueries/QueryYS/" TargetMode="External"/><Relationship Id="rId2" Type="http://schemas.openxmlformats.org/officeDocument/2006/relationships/hyperlink" Target="https://e-service.shciq.gov.cn/shesp/" TargetMode="Externa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7"/>
  <sheetViews>
    <sheetView workbookViewId="0">
      <selection activeCell="C8" sqref="C8"/>
    </sheetView>
  </sheetViews>
  <sheetFormatPr defaultColWidth="9" defaultRowHeight="14.25" outlineLevelCol="5"/>
  <cols>
    <col min="1" max="1" width="19.25" customWidth="1"/>
    <col min="2" max="2" width="39.625" customWidth="1"/>
    <col min="3" max="3" width="33.25" customWidth="1"/>
  </cols>
  <sheetData>
    <row r="1" ht="33.75" customHeight="1" spans="1:6">
      <c r="A1" s="383" t="s">
        <v>0</v>
      </c>
      <c r="B1" s="383"/>
      <c r="C1" s="383"/>
    </row>
    <row r="2" ht="102.75" customHeight="1" spans="1:6">
      <c r="A2" s="384" t="s">
        <v>1</v>
      </c>
      <c r="B2" s="384"/>
      <c r="C2" s="384"/>
      <c r="D2" s="6"/>
    </row>
    <row r="3" ht="33.75" customHeight="1" spans="1:6">
      <c r="A3" s="385" t="s">
        <v>2</v>
      </c>
      <c r="B3" s="385" t="s">
        <v>3</v>
      </c>
      <c r="C3" s="385" t="s">
        <v>4</v>
      </c>
    </row>
    <row r="4" ht="45" customHeight="1" spans="1:6">
      <c r="A4" s="386" t="s">
        <v>5</v>
      </c>
      <c r="B4" s="387" t="s">
        <v>6</v>
      </c>
      <c r="C4" s="386" t="s">
        <v>7</v>
      </c>
    </row>
    <row r="5" ht="45" customHeight="1" spans="1:6">
      <c r="A5" s="386" t="s">
        <v>8</v>
      </c>
      <c r="B5" s="388" t="s">
        <v>9</v>
      </c>
      <c r="C5" s="387" t="s">
        <v>10</v>
      </c>
      <c r="F5" s="6"/>
    </row>
    <row r="6" ht="48" customHeight="1" spans="1:6">
      <c r="A6" s="386" t="s">
        <v>11</v>
      </c>
      <c r="B6" s="389" t="s">
        <v>12</v>
      </c>
      <c r="C6" s="388" t="s">
        <v>13</v>
      </c>
    </row>
    <row r="7" ht="77.25" customHeight="1" spans="1:6">
      <c r="A7" s="386" t="s">
        <v>14</v>
      </c>
      <c r="B7" s="389" t="s">
        <v>15</v>
      </c>
      <c r="C7" s="389" t="s">
        <v>16</v>
      </c>
    </row>
    <row r="8" ht="85.5" customHeight="1" spans="1:6">
      <c r="A8" s="386" t="s">
        <v>17</v>
      </c>
      <c r="B8" s="389" t="s">
        <v>18</v>
      </c>
      <c r="C8" s="389" t="s">
        <v>19</v>
      </c>
    </row>
    <row r="9" ht="33.75" customHeight="1" spans="1:6">
      <c r="A9" s="386" t="s">
        <v>20</v>
      </c>
      <c r="B9" s="387" t="s">
        <v>21</v>
      </c>
      <c r="C9" s="387" t="s">
        <v>22</v>
      </c>
    </row>
    <row r="10" ht="44.25" customHeight="1" spans="1:6">
      <c r="A10" s="388" t="s">
        <v>23</v>
      </c>
      <c r="B10" s="387" t="s">
        <v>24</v>
      </c>
      <c r="C10" s="389" t="s">
        <v>25</v>
      </c>
    </row>
    <row r="11" ht="44.25" customHeight="1" spans="1:6">
      <c r="A11" s="386" t="s">
        <v>26</v>
      </c>
      <c r="B11" s="386" t="s">
        <v>27</v>
      </c>
      <c r="C11" s="388" t="s">
        <v>28</v>
      </c>
    </row>
    <row r="12" ht="74.25" customHeight="1" spans="1:6">
      <c r="A12" s="386" t="s">
        <v>29</v>
      </c>
      <c r="B12" s="389" t="s">
        <v>30</v>
      </c>
      <c r="C12" s="390" t="s">
        <v>31</v>
      </c>
    </row>
    <row r="13" spans="1:6">
      <c r="A13" s="6"/>
      <c r="B13" s="6"/>
      <c r="C13" s="6"/>
    </row>
    <row r="14" spans="1:6">
      <c r="A14" s="234"/>
      <c r="B14" s="234"/>
      <c r="C14" s="234"/>
    </row>
    <row r="15" ht="18.75" spans="1:6">
      <c r="A15" s="391"/>
      <c r="B15" s="392"/>
      <c r="C15" s="234"/>
    </row>
    <row r="16" ht="18.75" spans="1:6">
      <c r="A16" s="392"/>
      <c r="B16" s="392"/>
      <c r="C16" s="234"/>
    </row>
    <row r="17" ht="18.75" spans="1:2">
      <c r="A17" s="393"/>
      <c r="B17" s="393"/>
    </row>
  </sheetData>
  <sheetProtection sheet="1" formatCells="0" formatColumns="0" formatRows="0" insertRows="0" insertColumns="0" insertHyperlinks="0" deleteColumns="0" deleteRows="0" sort="0" autoFilter="0" pivotTables="0"/>
  <mergeCells count="2">
    <mergeCell ref="A1:C1"/>
    <mergeCell ref="A2:C2"/>
  </mergeCells>
  <pageMargins left="0.338888888888889" right="0.15625" top="0.429166666666667" bottom="0.275" header="0.15625" footer="0.313888888888889"/>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
  <sheetViews>
    <sheetView topLeftCell="A78" workbookViewId="0">
      <selection activeCell="A63" sqref="A63"/>
    </sheetView>
  </sheetViews>
  <sheetFormatPr defaultColWidth="9" defaultRowHeight="14.25" outlineLevelCol="1"/>
  <cols>
    <col min="1" max="1" width="22.125" style="374" customWidth="1"/>
    <col min="2" max="2" width="179.25" style="375" customWidth="1"/>
    <col min="3" max="16384" width="9" style="376"/>
  </cols>
  <sheetData>
    <row r="1" spans="1:2">
      <c r="A1" s="374" t="s">
        <v>32</v>
      </c>
      <c r="B1" s="375" t="s">
        <v>33</v>
      </c>
    </row>
    <row r="3" spans="1:2">
      <c r="A3" s="374" t="s">
        <v>34</v>
      </c>
      <c r="B3" s="375" t="s">
        <v>35</v>
      </c>
    </row>
    <row r="5" spans="1:2">
      <c r="A5" s="377" t="s">
        <v>36</v>
      </c>
      <c r="B5" s="375" t="s">
        <v>37</v>
      </c>
    </row>
    <row r="7" ht="28.5" spans="1:2">
      <c r="A7" s="374" t="s">
        <v>38</v>
      </c>
      <c r="B7" s="375" t="s">
        <v>39</v>
      </c>
    </row>
    <row r="9" ht="42.75" spans="1:2">
      <c r="A9" s="377" t="s">
        <v>8</v>
      </c>
      <c r="B9" s="378" t="s">
        <v>40</v>
      </c>
    </row>
    <row r="11" spans="1:2">
      <c r="A11" s="377" t="s">
        <v>41</v>
      </c>
      <c r="B11" s="379" t="s">
        <v>42</v>
      </c>
    </row>
    <row r="13" spans="1:2">
      <c r="A13" s="374" t="s">
        <v>43</v>
      </c>
      <c r="B13" s="375" t="s">
        <v>44</v>
      </c>
    </row>
    <row r="15" spans="1:2">
      <c r="A15" s="374" t="s">
        <v>45</v>
      </c>
      <c r="B15" s="375" t="s">
        <v>46</v>
      </c>
    </row>
    <row r="17" ht="28.5" spans="1:2">
      <c r="A17" s="374" t="s">
        <v>47</v>
      </c>
      <c r="B17" s="375" t="s">
        <v>48</v>
      </c>
    </row>
    <row r="19" spans="1:2">
      <c r="A19" s="380" t="s">
        <v>49</v>
      </c>
      <c r="B19" s="379" t="s">
        <v>50</v>
      </c>
    </row>
    <row r="21" spans="1:2">
      <c r="A21" s="374" t="s">
        <v>51</v>
      </c>
      <c r="B21" s="375" t="s">
        <v>52</v>
      </c>
    </row>
    <row r="23" spans="1:2">
      <c r="A23" s="381" t="s">
        <v>53</v>
      </c>
      <c r="B23" s="379" t="s">
        <v>54</v>
      </c>
    </row>
    <row r="25" ht="28.5" spans="1:2">
      <c r="A25" s="374" t="s">
        <v>55</v>
      </c>
      <c r="B25" s="375" t="s">
        <v>56</v>
      </c>
    </row>
    <row r="27" ht="28.5" spans="1:2">
      <c r="A27" s="374" t="s">
        <v>57</v>
      </c>
      <c r="B27" s="375" t="s">
        <v>58</v>
      </c>
    </row>
    <row r="29" spans="1:2">
      <c r="A29" s="377" t="s">
        <v>59</v>
      </c>
      <c r="B29" s="379" t="s">
        <v>60</v>
      </c>
    </row>
    <row r="31" spans="1:2">
      <c r="A31" s="374" t="s">
        <v>61</v>
      </c>
      <c r="B31" s="379" t="s">
        <v>62</v>
      </c>
    </row>
    <row r="33" ht="42.75" spans="1:2">
      <c r="A33" s="374" t="s">
        <v>63</v>
      </c>
      <c r="B33" s="375" t="s">
        <v>64</v>
      </c>
    </row>
    <row r="35" ht="52" customHeight="1" spans="1:2">
      <c r="A35" s="374" t="s">
        <v>65</v>
      </c>
      <c r="B35" s="375" t="s">
        <v>66</v>
      </c>
    </row>
    <row r="37" ht="45" customHeight="1" spans="1:2">
      <c r="A37" s="374" t="s">
        <v>67</v>
      </c>
      <c r="B37" s="375" t="s">
        <v>68</v>
      </c>
    </row>
    <row r="39" ht="27" customHeight="1" spans="1:2">
      <c r="A39" s="374" t="s">
        <v>69</v>
      </c>
      <c r="B39" s="375" t="s">
        <v>70</v>
      </c>
    </row>
    <row r="41" ht="29" customHeight="1" spans="1:2">
      <c r="A41" s="374" t="s">
        <v>71</v>
      </c>
      <c r="B41" s="375" t="s">
        <v>72</v>
      </c>
    </row>
    <row r="43" ht="28" customHeight="1" spans="1:2">
      <c r="A43" s="374" t="s">
        <v>73</v>
      </c>
      <c r="B43" s="375" t="s">
        <v>74</v>
      </c>
    </row>
    <row r="45" ht="51" customHeight="1" spans="1:2">
      <c r="A45" s="374" t="s">
        <v>75</v>
      </c>
      <c r="B45" s="375" t="s">
        <v>76</v>
      </c>
    </row>
    <row r="47" ht="45" customHeight="1" spans="1:2">
      <c r="A47" s="374" t="s">
        <v>77</v>
      </c>
      <c r="B47" s="375" t="s">
        <v>78</v>
      </c>
    </row>
    <row r="49" ht="41" customHeight="1" spans="1:2">
      <c r="A49" s="374" t="s">
        <v>79</v>
      </c>
      <c r="B49" s="375" t="s">
        <v>80</v>
      </c>
    </row>
    <row r="51" ht="41" customHeight="1" spans="1:2">
      <c r="A51" s="374" t="s">
        <v>81</v>
      </c>
      <c r="B51" s="375" t="s">
        <v>82</v>
      </c>
    </row>
    <row r="53" ht="40" customHeight="1" spans="1:2">
      <c r="A53" s="374" t="s">
        <v>83</v>
      </c>
      <c r="B53" s="375" t="s">
        <v>84</v>
      </c>
    </row>
    <row r="55" ht="42" customHeight="1" spans="1:2">
      <c r="A55" s="374" t="s">
        <v>85</v>
      </c>
      <c r="B55" s="375" t="s">
        <v>86</v>
      </c>
    </row>
    <row r="57" ht="32" customHeight="1" spans="1:2">
      <c r="A57" s="374" t="s">
        <v>87</v>
      </c>
      <c r="B57" s="375" t="s">
        <v>88</v>
      </c>
    </row>
    <row r="59" ht="117" customHeight="1" spans="1:2">
      <c r="A59" s="377" t="s">
        <v>89</v>
      </c>
      <c r="B59" s="382" t="s">
        <v>90</v>
      </c>
    </row>
    <row r="61" spans="1:2">
      <c r="A61" s="374" t="s">
        <v>91</v>
      </c>
      <c r="B61" s="375" t="s">
        <v>92</v>
      </c>
    </row>
    <row r="63" ht="140" customHeight="1" spans="1:2">
      <c r="A63" s="381" t="s">
        <v>93</v>
      </c>
      <c r="B63" s="382" t="s">
        <v>94</v>
      </c>
    </row>
    <row r="65" ht="28.5" spans="1:2">
      <c r="A65" s="381" t="s">
        <v>95</v>
      </c>
      <c r="B65" s="375" t="s">
        <v>96</v>
      </c>
    </row>
    <row r="67" ht="28.5" spans="1:2">
      <c r="A67" s="374" t="s">
        <v>97</v>
      </c>
      <c r="B67" s="379" t="s">
        <v>98</v>
      </c>
    </row>
    <row r="69" spans="1:2">
      <c r="A69" s="374" t="s">
        <v>99</v>
      </c>
      <c r="B69" s="379" t="s">
        <v>100</v>
      </c>
    </row>
    <row r="71" spans="1:2">
      <c r="A71" s="374" t="s">
        <v>101</v>
      </c>
      <c r="B71" s="379" t="s">
        <v>102</v>
      </c>
    </row>
    <row r="73" spans="1:2">
      <c r="A73" s="374" t="s">
        <v>103</v>
      </c>
      <c r="B73" s="375" t="s">
        <v>104</v>
      </c>
    </row>
    <row r="75" ht="28.5" spans="1:2">
      <c r="A75" s="374" t="s">
        <v>105</v>
      </c>
      <c r="B75" s="375" t="s">
        <v>106</v>
      </c>
    </row>
    <row r="77" ht="42.75" spans="1:2">
      <c r="A77" s="374" t="s">
        <v>107</v>
      </c>
      <c r="B77" s="379" t="s">
        <v>108</v>
      </c>
    </row>
    <row r="79" spans="1:2">
      <c r="A79" s="374" t="s">
        <v>109</v>
      </c>
      <c r="B79" s="375" t="s">
        <v>110</v>
      </c>
    </row>
    <row r="81" spans="1:2">
      <c r="A81" s="374" t="s">
        <v>111</v>
      </c>
      <c r="B81" s="379" t="s">
        <v>112</v>
      </c>
    </row>
    <row r="83" ht="28.5" spans="1:2">
      <c r="A83" s="374" t="s">
        <v>113</v>
      </c>
      <c r="B83" s="375" t="s">
        <v>114</v>
      </c>
    </row>
    <row r="85" ht="71.25" spans="1:2">
      <c r="A85" s="381" t="s">
        <v>115</v>
      </c>
      <c r="B85" s="378" t="s">
        <v>116</v>
      </c>
    </row>
    <row r="86" spans="1:2">
      <c r="A86" s="381"/>
    </row>
    <row r="87" ht="42.75" spans="1:2">
      <c r="A87" s="381" t="s">
        <v>117</v>
      </c>
      <c r="B87" s="378" t="s">
        <v>118</v>
      </c>
    </row>
    <row r="88" spans="1:2">
      <c r="A88" s="381"/>
    </row>
    <row r="89" ht="71.25" spans="1:2">
      <c r="A89" s="381" t="s">
        <v>119</v>
      </c>
      <c r="B89" s="378" t="s">
        <v>120</v>
      </c>
    </row>
    <row r="90" spans="1:2">
      <c r="A90" s="377"/>
    </row>
    <row r="91" spans="1:2">
      <c r="A91" s="377" t="s">
        <v>121</v>
      </c>
      <c r="B91" s="375" t="s">
        <v>122</v>
      </c>
    </row>
  </sheetData>
  <pageMargins left="0.75" right="0.75" top="1" bottom="1" header="0.509027777777778" footer="0.509027777777778"/>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50"/>
    <pageSetUpPr fitToPage="1"/>
  </sheetPr>
  <dimension ref="A1:BY182"/>
  <sheetViews>
    <sheetView showZeros="0" tabSelected="1" view="pageBreakPreview" zoomScaleNormal="100" workbookViewId="0">
      <selection activeCell="T15" sqref="T15:V15"/>
    </sheetView>
  </sheetViews>
  <sheetFormatPr defaultColWidth="9" defaultRowHeight="14.25"/>
  <cols>
    <col min="1" max="1" width="6.25" customWidth="1"/>
    <col min="2" max="2" width="7.375" customWidth="1"/>
    <col min="3" max="3" width="6" customWidth="1"/>
    <col min="4" max="4" width="21" customWidth="1"/>
    <col min="5" max="5" width="10.875" customWidth="1"/>
    <col min="6" max="6" width="12.375" customWidth="1"/>
    <col min="7" max="7" width="11" customWidth="1"/>
    <col min="8" max="8" width="6.75" customWidth="1"/>
    <col min="9" max="9" width="7.875" style="253" customWidth="1"/>
    <col min="10" max="10" width="7.125" customWidth="1"/>
    <col min="11" max="11" width="7.625" customWidth="1"/>
    <col min="12" max="12" width="5.375" customWidth="1"/>
    <col min="13" max="13" width="5.25" customWidth="1"/>
    <col min="14" max="14" width="5.125" customWidth="1"/>
    <col min="15" max="15" width="7.25" customWidth="1"/>
    <col min="16" max="16" width="4.125" customWidth="1"/>
    <col min="17" max="17" width="6.25" customWidth="1"/>
    <col min="18" max="18" width="7.625" customWidth="1"/>
    <col min="19" max="19" width="8.5" customWidth="1"/>
    <col min="20" max="20" width="8.25" customWidth="1"/>
    <col min="21" max="21" width="7.75" customWidth="1"/>
    <col min="22" max="22" width="6.875" customWidth="1"/>
  </cols>
  <sheetData>
    <row r="1" ht="33" customHeight="1" spans="1:28">
      <c r="A1" s="254" t="s">
        <v>123</v>
      </c>
      <c r="B1" s="254"/>
      <c r="C1" s="254"/>
      <c r="D1" s="254"/>
      <c r="E1" s="254"/>
      <c r="F1" s="254"/>
      <c r="G1" s="254"/>
      <c r="H1" s="254"/>
      <c r="I1" s="255"/>
      <c r="J1" s="254"/>
      <c r="K1" s="254"/>
      <c r="L1" s="254"/>
      <c r="M1" s="254"/>
      <c r="N1" s="254"/>
      <c r="O1" s="254"/>
      <c r="P1" s="254"/>
      <c r="Q1" s="254"/>
      <c r="R1" s="254"/>
      <c r="S1" s="254"/>
    </row>
    <row r="2" s="3" customFormat="1" ht="12.75" spans="1:28">
      <c r="A2" s="256" t="s">
        <v>124</v>
      </c>
      <c r="B2" s="256"/>
      <c r="C2" s="257"/>
      <c r="D2" s="257"/>
      <c r="E2" s="257"/>
      <c r="F2" s="256" t="s">
        <v>125</v>
      </c>
      <c r="G2" s="257"/>
      <c r="H2" s="257"/>
      <c r="I2" s="256" t="s">
        <v>126</v>
      </c>
      <c r="J2" s="257"/>
      <c r="K2" s="257"/>
      <c r="L2" s="257"/>
      <c r="M2" s="257"/>
      <c r="N2" s="257"/>
      <c r="O2" s="258"/>
      <c r="P2" s="258"/>
      <c r="Q2" s="258"/>
      <c r="R2" s="258"/>
      <c r="S2" s="258"/>
    </row>
    <row r="3" s="3" customFormat="1" ht="12" spans="1:28">
      <c r="A3" s="259" t="s">
        <v>127</v>
      </c>
      <c r="B3" s="260"/>
      <c r="C3" s="261" t="s">
        <v>128</v>
      </c>
      <c r="D3" s="262"/>
      <c r="E3" s="263" t="s">
        <v>129</v>
      </c>
      <c r="F3" s="264" t="s">
        <v>130</v>
      </c>
      <c r="G3" s="265" t="s">
        <v>131</v>
      </c>
      <c r="H3" s="261"/>
      <c r="I3" s="266"/>
      <c r="J3" s="262"/>
      <c r="K3" s="265" t="s">
        <v>132</v>
      </c>
      <c r="L3" s="261"/>
      <c r="M3" s="261"/>
      <c r="N3" s="262"/>
      <c r="O3" s="265" t="s">
        <v>38</v>
      </c>
      <c r="P3" s="261"/>
      <c r="Q3" s="261"/>
      <c r="R3" s="261"/>
      <c r="S3" s="267"/>
      <c r="U3" s="268" t="s">
        <v>133</v>
      </c>
      <c r="V3" s="269" t="s">
        <v>134</v>
      </c>
      <c r="W3" s="270"/>
      <c r="X3" s="270"/>
      <c r="Y3" s="270"/>
      <c r="Z3" s="270"/>
      <c r="AA3" s="271"/>
    </row>
    <row r="4" spans="1:28">
      <c r="A4" s="272" t="s">
        <v>135</v>
      </c>
      <c r="B4" s="273"/>
      <c r="C4" s="273"/>
      <c r="D4" s="274"/>
      <c r="E4" s="275"/>
      <c r="F4" s="276"/>
      <c r="G4" s="275"/>
      <c r="H4" s="277"/>
      <c r="I4" s="278"/>
      <c r="J4" s="279"/>
      <c r="K4" s="275"/>
      <c r="L4" s="277"/>
      <c r="M4" s="277"/>
      <c r="N4" s="276"/>
      <c r="O4" s="275"/>
      <c r="P4" s="277"/>
      <c r="Q4" s="277"/>
      <c r="R4" s="277"/>
      <c r="S4" s="280"/>
      <c r="U4" s="281" t="s">
        <v>136</v>
      </c>
      <c r="V4" s="282" t="str">
        <f>I12</f>
        <v>FOB</v>
      </c>
      <c r="W4" s="283" t="s">
        <v>137</v>
      </c>
      <c r="X4" s="284" t="s">
        <v>138</v>
      </c>
      <c r="Y4" s="283" t="s">
        <v>139</v>
      </c>
      <c r="Z4" s="284"/>
      <c r="AA4" s="285"/>
    </row>
    <row r="5" s="3" customFormat="1" ht="12" spans="1:28">
      <c r="A5" s="286" t="s">
        <v>140</v>
      </c>
      <c r="B5" s="287"/>
      <c r="C5" s="288" t="s">
        <v>141</v>
      </c>
      <c r="D5" s="289"/>
      <c r="E5" s="290" t="s">
        <v>142</v>
      </c>
      <c r="F5" s="291" t="s">
        <v>130</v>
      </c>
      <c r="G5" s="292" t="s">
        <v>143</v>
      </c>
      <c r="H5" s="293"/>
      <c r="I5" s="294"/>
      <c r="J5" s="289"/>
      <c r="K5" s="290" t="s">
        <v>144</v>
      </c>
      <c r="L5" s="293"/>
      <c r="M5" s="293"/>
      <c r="N5" s="289"/>
      <c r="O5" s="292"/>
      <c r="P5" s="293"/>
      <c r="Q5" s="293"/>
      <c r="R5" s="293"/>
      <c r="S5" s="295"/>
      <c r="U5" s="296" t="s">
        <v>145</v>
      </c>
      <c r="V5" s="297" t="str">
        <f>A4</f>
        <v>深圳市*****有限公司</v>
      </c>
      <c r="W5" s="297"/>
      <c r="X5" s="297"/>
      <c r="Y5" s="297"/>
      <c r="Z5" s="297"/>
      <c r="AA5" s="285"/>
    </row>
    <row r="6" spans="1:28">
      <c r="A6" s="272" t="s">
        <v>146</v>
      </c>
      <c r="B6" s="273"/>
      <c r="C6" s="273"/>
      <c r="D6" s="274"/>
      <c r="E6" s="275"/>
      <c r="F6" s="276"/>
      <c r="G6" s="275"/>
      <c r="H6" s="277"/>
      <c r="I6" s="278"/>
      <c r="J6" s="276"/>
      <c r="K6" s="275"/>
      <c r="L6" s="277"/>
      <c r="M6" s="277"/>
      <c r="N6" s="276"/>
      <c r="O6" s="275"/>
      <c r="P6" s="277"/>
      <c r="Q6" s="277"/>
      <c r="R6" s="277"/>
      <c r="S6" s="280"/>
      <c r="U6" s="296" t="s">
        <v>147</v>
      </c>
      <c r="V6" s="297"/>
      <c r="W6" s="297"/>
      <c r="X6" s="297"/>
      <c r="Y6" s="297"/>
      <c r="Z6" s="297"/>
      <c r="AA6" s="285"/>
    </row>
    <row r="7" s="3" customFormat="1" ht="12" spans="1:28">
      <c r="A7" s="286" t="s">
        <v>148</v>
      </c>
      <c r="B7" s="287"/>
      <c r="C7" s="293" t="str">
        <f>C3</f>
        <v>*</v>
      </c>
      <c r="D7" s="289"/>
      <c r="E7" s="298" t="s">
        <v>149</v>
      </c>
      <c r="F7" s="291" t="s">
        <v>130</v>
      </c>
      <c r="G7" s="298" t="s">
        <v>150</v>
      </c>
      <c r="H7" s="293" t="s">
        <v>130</v>
      </c>
      <c r="I7" s="294"/>
      <c r="J7" s="289"/>
      <c r="K7" s="290" t="s">
        <v>47</v>
      </c>
      <c r="L7" s="293"/>
      <c r="M7" s="293"/>
      <c r="N7" s="289"/>
      <c r="O7" s="290"/>
      <c r="P7" s="293"/>
      <c r="Q7" s="293"/>
      <c r="R7" s="293"/>
      <c r="S7" s="295"/>
      <c r="U7" s="281" t="s">
        <v>151</v>
      </c>
      <c r="V7" s="284" t="s">
        <v>152</v>
      </c>
      <c r="W7" s="284"/>
      <c r="X7" s="284" t="s">
        <v>153</v>
      </c>
      <c r="Y7" s="284" t="s">
        <v>152</v>
      </c>
      <c r="Z7" s="297"/>
      <c r="AA7" s="285"/>
    </row>
    <row r="8" spans="1:28">
      <c r="A8" s="272" t="str">
        <f>A4</f>
        <v>深圳市*****有限公司</v>
      </c>
      <c r="B8" s="273"/>
      <c r="C8" s="273"/>
      <c r="D8" s="274"/>
      <c r="E8" s="299" t="s">
        <v>154</v>
      </c>
      <c r="F8" s="274"/>
      <c r="G8" s="299" t="s">
        <v>155</v>
      </c>
      <c r="H8" s="273"/>
      <c r="I8" s="300"/>
      <c r="J8" s="279"/>
      <c r="K8" s="275"/>
      <c r="L8" s="277"/>
      <c r="M8" s="277"/>
      <c r="N8" s="276"/>
      <c r="O8" s="275"/>
      <c r="P8" s="277"/>
      <c r="Q8" s="277"/>
      <c r="R8" s="277"/>
      <c r="S8" s="280"/>
      <c r="U8" s="296" t="s">
        <v>156</v>
      </c>
      <c r="V8" s="297" t="str">
        <f>A6</f>
        <v>GOODS-LUCK INT'L LOGISTICS(HK) CO.,LTD</v>
      </c>
      <c r="W8" s="297"/>
      <c r="X8" s="297"/>
      <c r="Y8" s="297"/>
      <c r="Z8" s="297"/>
      <c r="AA8" s="285"/>
    </row>
    <row r="9" s="3" customFormat="1" ht="12" spans="1:28">
      <c r="A9" s="286" t="s">
        <v>51</v>
      </c>
      <c r="B9" s="287"/>
      <c r="C9" s="293"/>
      <c r="D9" s="289"/>
      <c r="E9" s="298" t="s">
        <v>53</v>
      </c>
      <c r="F9" s="291" t="s">
        <v>130</v>
      </c>
      <c r="G9" s="298" t="s">
        <v>157</v>
      </c>
      <c r="H9" s="293" t="s">
        <v>130</v>
      </c>
      <c r="I9" s="294"/>
      <c r="J9" s="293"/>
      <c r="K9" s="290" t="s">
        <v>158</v>
      </c>
      <c r="L9" s="293" t="s">
        <v>130</v>
      </c>
      <c r="M9" s="293"/>
      <c r="N9" s="289"/>
      <c r="O9" s="298" t="s">
        <v>159</v>
      </c>
      <c r="P9" s="293" t="s">
        <v>130</v>
      </c>
      <c r="Q9" s="293"/>
      <c r="R9" s="293"/>
      <c r="S9" s="295"/>
      <c r="U9" s="281" t="s">
        <v>160</v>
      </c>
      <c r="V9" s="284" t="s">
        <v>161</v>
      </c>
      <c r="W9" s="284"/>
      <c r="X9" s="284"/>
      <c r="Y9" s="284"/>
      <c r="Z9" s="297"/>
      <c r="AA9" s="285"/>
    </row>
    <row r="10" spans="1:28">
      <c r="A10" s="272" t="s">
        <v>162</v>
      </c>
      <c r="B10" s="273"/>
      <c r="C10" s="273"/>
      <c r="D10" s="274"/>
      <c r="E10" s="301"/>
      <c r="F10" s="302"/>
      <c r="G10" s="275"/>
      <c r="H10" s="277"/>
      <c r="I10" s="277"/>
      <c r="J10" s="277"/>
      <c r="K10" s="275"/>
      <c r="L10" s="277"/>
      <c r="M10" s="277"/>
      <c r="N10" s="276"/>
      <c r="O10" s="275" t="s">
        <v>163</v>
      </c>
      <c r="P10" s="277"/>
      <c r="Q10" s="277"/>
      <c r="R10" s="277"/>
      <c r="S10" s="280"/>
      <c r="U10" s="296" t="s">
        <v>164</v>
      </c>
      <c r="V10" s="297" t="s">
        <v>165</v>
      </c>
      <c r="W10" s="297"/>
      <c r="X10" s="297" t="s">
        <v>166</v>
      </c>
      <c r="Y10" s="297" t="s">
        <v>165</v>
      </c>
      <c r="Z10" s="297"/>
      <c r="AA10" s="285"/>
    </row>
    <row r="11" s="3" customFormat="1" ht="12.75" spans="1:28">
      <c r="A11" s="286" t="s">
        <v>67</v>
      </c>
      <c r="B11" s="287"/>
      <c r="C11" s="293" t="s">
        <v>130</v>
      </c>
      <c r="D11" s="289"/>
      <c r="E11" s="303" t="s">
        <v>69</v>
      </c>
      <c r="F11" s="304" t="s">
        <v>71</v>
      </c>
      <c r="G11" s="305" t="s">
        <v>73</v>
      </c>
      <c r="H11" s="306"/>
      <c r="I11" s="307" t="s">
        <v>75</v>
      </c>
      <c r="J11" s="308" t="s">
        <v>167</v>
      </c>
      <c r="K11" s="290" t="s">
        <v>77</v>
      </c>
      <c r="L11" s="293"/>
      <c r="M11" s="289"/>
      <c r="N11" s="288" t="s">
        <v>79</v>
      </c>
      <c r="O11" s="293"/>
      <c r="P11" s="289"/>
      <c r="Q11" s="290" t="s">
        <v>81</v>
      </c>
      <c r="R11" s="309"/>
      <c r="S11" s="310"/>
      <c r="U11" s="311" t="s">
        <v>168</v>
      </c>
      <c r="V11" s="312"/>
      <c r="W11" s="312"/>
      <c r="X11" s="312" t="s">
        <v>169</v>
      </c>
      <c r="Y11" s="312"/>
      <c r="Z11" s="312"/>
      <c r="AA11" s="313"/>
    </row>
    <row r="12" spans="1:28">
      <c r="A12" s="272" t="s">
        <v>170</v>
      </c>
      <c r="B12" s="273"/>
      <c r="C12" s="273"/>
      <c r="D12" s="274"/>
      <c r="E12" s="314">
        <v>20</v>
      </c>
      <c r="F12" s="314">
        <v>300</v>
      </c>
      <c r="G12" s="299">
        <v>250</v>
      </c>
      <c r="H12" s="274"/>
      <c r="I12" s="299" t="s">
        <v>171</v>
      </c>
      <c r="J12" s="273"/>
      <c r="K12" s="299"/>
      <c r="L12" s="273"/>
      <c r="M12" s="274"/>
      <c r="N12" s="273"/>
      <c r="O12" s="273"/>
      <c r="P12" s="274"/>
      <c r="Q12" s="299"/>
      <c r="R12" s="273"/>
      <c r="S12" s="315"/>
      <c r="T12" s="316" t="s">
        <v>172</v>
      </c>
      <c r="U12" s="316"/>
      <c r="V12" s="316"/>
      <c r="W12" s="65" t="s">
        <v>173</v>
      </c>
      <c r="X12" s="65"/>
      <c r="Y12" s="65"/>
      <c r="Z12" s="65"/>
      <c r="AA12" s="65"/>
      <c r="AB12" s="65"/>
    </row>
    <row r="13" s="3" customFormat="1" ht="12" spans="1:28">
      <c r="A13" s="317" t="s">
        <v>83</v>
      </c>
      <c r="B13" s="318"/>
      <c r="C13" s="319"/>
      <c r="D13" s="319"/>
      <c r="E13" s="319"/>
      <c r="F13" s="319"/>
      <c r="G13" s="319"/>
      <c r="H13" s="319"/>
      <c r="I13" s="319"/>
      <c r="J13" s="319"/>
      <c r="K13" s="319"/>
      <c r="L13" s="319"/>
      <c r="M13" s="319"/>
      <c r="N13" s="319"/>
      <c r="O13" s="319"/>
      <c r="P13" s="319"/>
      <c r="Q13" s="319"/>
      <c r="R13" s="319"/>
      <c r="S13" s="320"/>
      <c r="T13" s="316" t="s">
        <v>174</v>
      </c>
      <c r="U13" s="316"/>
      <c r="V13" s="316"/>
      <c r="W13" s="65" t="s">
        <v>175</v>
      </c>
      <c r="X13" s="65"/>
      <c r="Y13" s="65"/>
      <c r="Z13" s="65"/>
      <c r="AA13" s="65"/>
      <c r="AB13" s="65"/>
    </row>
    <row r="14" s="3" customFormat="1" ht="12.75" spans="1:28">
      <c r="A14" s="321"/>
      <c r="B14" s="322"/>
      <c r="C14" s="322"/>
      <c r="D14" s="323"/>
      <c r="E14" s="323"/>
      <c r="F14" s="323"/>
      <c r="G14" s="323"/>
      <c r="H14" s="323"/>
      <c r="I14" s="323"/>
      <c r="J14" s="323"/>
      <c r="K14" s="323"/>
      <c r="L14" s="323"/>
      <c r="M14" s="323"/>
      <c r="N14" s="323"/>
      <c r="O14" s="323"/>
      <c r="P14" s="323"/>
      <c r="Q14" s="323"/>
      <c r="R14" s="323"/>
      <c r="S14" s="324"/>
      <c r="T14" s="316" t="s">
        <v>176</v>
      </c>
      <c r="U14" s="316"/>
      <c r="V14" s="316"/>
      <c r="W14" s="65" t="s">
        <v>177</v>
      </c>
      <c r="X14" s="65"/>
      <c r="Y14" s="65"/>
      <c r="Z14" s="65"/>
      <c r="AA14" s="65"/>
      <c r="AB14" s="65"/>
    </row>
    <row r="15" s="3" customFormat="1" ht="13.5" spans="1:28">
      <c r="A15" s="325" t="s">
        <v>178</v>
      </c>
      <c r="B15" s="326"/>
      <c r="C15" s="327"/>
      <c r="D15" s="327"/>
      <c r="E15" s="327"/>
      <c r="F15" s="327"/>
      <c r="G15" s="327"/>
      <c r="H15" s="327"/>
      <c r="I15" s="327"/>
      <c r="J15" s="327"/>
      <c r="K15" s="327"/>
      <c r="L15" s="327"/>
      <c r="M15" s="327"/>
      <c r="N15" s="327"/>
      <c r="O15" s="327"/>
      <c r="P15" s="327"/>
      <c r="Q15" s="327"/>
      <c r="R15" s="327"/>
      <c r="S15" s="328"/>
      <c r="T15" s="329" t="s">
        <v>179</v>
      </c>
      <c r="U15" s="329"/>
      <c r="V15" s="329"/>
      <c r="W15" s="330" t="s">
        <v>180</v>
      </c>
      <c r="X15" s="244"/>
      <c r="Y15" s="244"/>
      <c r="Z15" s="244"/>
      <c r="AA15" s="244"/>
      <c r="AB15" s="244"/>
    </row>
    <row r="16" ht="15" spans="1:28">
      <c r="A16" s="325" t="s">
        <v>181</v>
      </c>
      <c r="B16" s="235"/>
      <c r="C16" s="235"/>
      <c r="D16" s="235"/>
      <c r="E16" s="235"/>
      <c r="F16" s="235"/>
      <c r="G16" s="235"/>
      <c r="H16" s="235"/>
      <c r="I16" s="235"/>
      <c r="J16" s="235"/>
      <c r="K16" s="235"/>
      <c r="L16" s="235"/>
      <c r="M16" s="235"/>
      <c r="N16" s="235"/>
      <c r="O16" s="235"/>
      <c r="P16" s="235"/>
      <c r="Q16" s="235"/>
      <c r="R16" s="235"/>
      <c r="S16" s="331"/>
      <c r="T16" s="329" t="s">
        <v>182</v>
      </c>
      <c r="U16" s="329"/>
      <c r="V16" s="329"/>
      <c r="W16" s="244" t="s">
        <v>183</v>
      </c>
      <c r="X16" s="244"/>
      <c r="Y16" s="244"/>
      <c r="Z16" s="244"/>
      <c r="AA16" s="244"/>
      <c r="AB16" s="244"/>
    </row>
    <row r="17" ht="15" spans="1:29">
      <c r="A17" s="332"/>
      <c r="B17" s="333"/>
      <c r="C17" s="333"/>
      <c r="D17" s="333"/>
      <c r="E17" s="333"/>
      <c r="F17" s="333"/>
      <c r="G17" s="333"/>
      <c r="H17" s="333"/>
      <c r="I17" s="333"/>
      <c r="J17" s="333"/>
      <c r="K17" s="333"/>
      <c r="L17" s="334" t="s">
        <v>184</v>
      </c>
      <c r="M17" s="334"/>
      <c r="N17" s="334"/>
      <c r="O17" s="327"/>
      <c r="P17" s="327"/>
      <c r="Q17" s="327"/>
      <c r="R17" s="327"/>
      <c r="S17" s="328"/>
      <c r="T17" s="335" t="s">
        <v>185</v>
      </c>
      <c r="U17" s="336"/>
      <c r="V17" s="337"/>
      <c r="W17" s="338" t="s">
        <v>186</v>
      </c>
      <c r="X17" s="65"/>
      <c r="Y17" s="65"/>
      <c r="Z17" s="65"/>
      <c r="AA17" s="65"/>
      <c r="AB17" s="65"/>
      <c r="AC17" s="65"/>
    </row>
    <row r="18" s="5" customFormat="1" spans="1:29">
      <c r="A18" s="339" t="s">
        <v>187</v>
      </c>
      <c r="B18" s="340"/>
      <c r="C18" s="341"/>
      <c r="D18" s="342" t="s">
        <v>188</v>
      </c>
      <c r="E18" s="341"/>
      <c r="F18" s="343" t="s">
        <v>189</v>
      </c>
      <c r="G18" s="343"/>
      <c r="H18" s="341"/>
      <c r="I18" s="342" t="s">
        <v>190</v>
      </c>
      <c r="J18" s="343"/>
      <c r="K18" s="344" t="s">
        <v>191</v>
      </c>
      <c r="L18" s="345" t="s">
        <v>192</v>
      </c>
      <c r="M18" s="345"/>
      <c r="N18" s="345"/>
      <c r="O18" s="345"/>
      <c r="P18" s="345"/>
      <c r="Q18" s="345"/>
      <c r="R18" s="345"/>
      <c r="S18" s="346"/>
      <c r="T18" s="347">
        <f>SUM(T20:T483)</f>
        <v>250</v>
      </c>
      <c r="U18" s="348">
        <f>SUM(U20:U483)</f>
        <v>300</v>
      </c>
      <c r="V18" s="348">
        <f>SUM(V20:V483)</f>
        <v>20</v>
      </c>
    </row>
    <row r="19" s="3" customFormat="1" ht="12" spans="1:29">
      <c r="A19" s="349" t="s">
        <v>87</v>
      </c>
      <c r="B19" s="350" t="s">
        <v>193</v>
      </c>
      <c r="C19" s="350"/>
      <c r="D19" s="350" t="s">
        <v>91</v>
      </c>
      <c r="E19" s="350"/>
      <c r="F19" s="350"/>
      <c r="G19" s="350" t="s">
        <v>97</v>
      </c>
      <c r="H19" s="350"/>
      <c r="I19" s="350" t="s">
        <v>194</v>
      </c>
      <c r="J19" s="350"/>
      <c r="K19" s="350" t="s">
        <v>105</v>
      </c>
      <c r="L19" s="350"/>
      <c r="M19" s="350" t="s">
        <v>107</v>
      </c>
      <c r="N19" s="350"/>
      <c r="O19" s="350"/>
      <c r="P19" s="350" t="s">
        <v>20</v>
      </c>
      <c r="Q19" s="350"/>
      <c r="R19" s="350"/>
      <c r="S19" s="351" t="s">
        <v>113</v>
      </c>
      <c r="T19" s="352" t="s">
        <v>195</v>
      </c>
      <c r="U19" s="353" t="s">
        <v>196</v>
      </c>
      <c r="V19" s="353" t="s">
        <v>69</v>
      </c>
    </row>
    <row r="20" spans="1:29">
      <c r="A20" s="354">
        <v>1</v>
      </c>
      <c r="B20" s="355">
        <v>8507600090</v>
      </c>
      <c r="C20" s="355"/>
      <c r="D20" s="356" t="s">
        <v>197</v>
      </c>
      <c r="E20" s="356"/>
      <c r="F20" s="356"/>
      <c r="G20" s="357"/>
      <c r="H20" s="357"/>
      <c r="I20" s="358">
        <v>10</v>
      </c>
      <c r="J20" s="359"/>
      <c r="K20" s="359" t="s">
        <v>198</v>
      </c>
      <c r="L20" s="359"/>
      <c r="M20" s="360" t="s">
        <v>199</v>
      </c>
      <c r="N20" s="360"/>
      <c r="O20" s="360"/>
      <c r="P20" s="360" t="s">
        <v>200</v>
      </c>
      <c r="Q20" s="360"/>
      <c r="R20" s="360"/>
      <c r="S20" s="361" t="s">
        <v>201</v>
      </c>
      <c r="T20" s="362">
        <v>250</v>
      </c>
      <c r="U20" s="363">
        <v>300</v>
      </c>
      <c r="V20" s="363">
        <v>20</v>
      </c>
    </row>
    <row r="21" spans="1:29">
      <c r="A21" s="354"/>
      <c r="B21" s="364">
        <v>102</v>
      </c>
      <c r="C21" s="364"/>
      <c r="D21" s="365" t="s">
        <v>202</v>
      </c>
      <c r="E21" s="365"/>
      <c r="F21" s="365"/>
      <c r="G21" s="366"/>
      <c r="H21" s="366" t="s">
        <v>203</v>
      </c>
      <c r="I21" s="358">
        <f>G22*I20</f>
        <v>5800</v>
      </c>
      <c r="J21" s="359"/>
      <c r="K21" s="359"/>
      <c r="L21" s="359"/>
      <c r="M21" s="359"/>
      <c r="N21" s="359"/>
      <c r="O21" s="359"/>
      <c r="P21" s="359"/>
      <c r="Q21" s="359"/>
      <c r="R21" s="359"/>
      <c r="S21" s="361"/>
      <c r="T21" s="362"/>
      <c r="U21" s="363"/>
      <c r="V21" s="363"/>
    </row>
    <row r="22" spans="1:29">
      <c r="A22" s="367"/>
      <c r="B22" s="277"/>
      <c r="C22" s="277"/>
      <c r="D22" s="368"/>
      <c r="E22" s="368"/>
      <c r="F22" s="368"/>
      <c r="G22" s="369">
        <v>580</v>
      </c>
      <c r="H22" s="369" t="s">
        <v>204</v>
      </c>
      <c r="I22" s="278" t="s">
        <v>205</v>
      </c>
      <c r="J22" s="370"/>
      <c r="K22" s="370"/>
      <c r="L22" s="370"/>
      <c r="M22" s="370"/>
      <c r="N22" s="370"/>
      <c r="O22" s="370"/>
      <c r="P22" s="370"/>
      <c r="Q22" s="370"/>
      <c r="R22" s="370"/>
      <c r="S22" s="279"/>
      <c r="T22" s="362"/>
      <c r="U22" s="363"/>
      <c r="V22" s="363"/>
    </row>
    <row r="23" spans="1:29">
      <c r="A23" s="354">
        <v>2</v>
      </c>
      <c r="B23" s="355"/>
      <c r="C23" s="355"/>
      <c r="D23" s="356"/>
      <c r="E23" s="356"/>
      <c r="F23" s="356"/>
      <c r="G23" s="357"/>
      <c r="H23" s="357"/>
      <c r="I23" s="358"/>
      <c r="J23" s="359"/>
      <c r="K23" s="359"/>
      <c r="L23" s="359"/>
      <c r="M23" s="359"/>
      <c r="N23" s="359"/>
      <c r="O23" s="359"/>
      <c r="P23" s="359"/>
      <c r="Q23" s="359"/>
      <c r="R23" s="359"/>
      <c r="S23" s="361"/>
      <c r="T23" s="362"/>
      <c r="U23" s="363"/>
      <c r="V23" s="363"/>
    </row>
    <row r="24" spans="1:29">
      <c r="A24" s="354"/>
      <c r="B24" s="371"/>
      <c r="C24" s="371"/>
      <c r="D24" s="365"/>
      <c r="E24" s="365"/>
      <c r="F24" s="365"/>
      <c r="G24" s="366"/>
      <c r="H24" s="366"/>
      <c r="I24" s="358"/>
      <c r="J24" s="359"/>
      <c r="K24" s="359"/>
      <c r="L24" s="359"/>
      <c r="M24" s="359"/>
      <c r="N24" s="359"/>
      <c r="O24" s="359"/>
      <c r="P24" s="359"/>
      <c r="Q24" s="359"/>
      <c r="R24" s="359"/>
      <c r="S24" s="361"/>
      <c r="T24" s="362"/>
      <c r="U24" s="363"/>
      <c r="V24" s="363"/>
    </row>
    <row r="25" spans="1:29">
      <c r="A25" s="367"/>
      <c r="B25" s="277"/>
      <c r="C25" s="277"/>
      <c r="D25" s="368"/>
      <c r="E25" s="368"/>
      <c r="F25" s="368"/>
      <c r="G25" s="369"/>
      <c r="H25" s="369"/>
      <c r="I25" s="278"/>
      <c r="J25" s="370"/>
      <c r="K25" s="370"/>
      <c r="L25" s="370"/>
      <c r="M25" s="370"/>
      <c r="N25" s="370"/>
      <c r="O25" s="370"/>
      <c r="P25" s="370"/>
      <c r="Q25" s="370"/>
      <c r="R25" s="370"/>
      <c r="S25" s="279"/>
      <c r="T25" s="362"/>
      <c r="U25" s="363"/>
      <c r="V25" s="363"/>
    </row>
    <row r="26" spans="1:29">
      <c r="A26" s="354">
        <v>3</v>
      </c>
      <c r="B26" s="355"/>
      <c r="C26" s="355"/>
      <c r="D26" s="356"/>
      <c r="E26" s="356"/>
      <c r="F26" s="356"/>
      <c r="G26" s="357"/>
      <c r="H26" s="357"/>
      <c r="I26" s="358"/>
      <c r="J26" s="359"/>
      <c r="K26" s="359"/>
      <c r="L26" s="359"/>
      <c r="M26" s="359"/>
      <c r="N26" s="359"/>
      <c r="O26" s="359"/>
      <c r="P26" s="359"/>
      <c r="Q26" s="359"/>
      <c r="R26" s="359"/>
      <c r="S26" s="361"/>
      <c r="T26" s="362"/>
      <c r="U26" s="363"/>
      <c r="V26" s="363"/>
    </row>
    <row r="27" spans="1:29">
      <c r="A27" s="354"/>
      <c r="B27" s="371"/>
      <c r="C27" s="371"/>
      <c r="D27" s="365"/>
      <c r="E27" s="365"/>
      <c r="F27" s="365"/>
      <c r="G27" s="366"/>
      <c r="H27" s="366"/>
      <c r="I27" s="358"/>
      <c r="J27" s="359"/>
      <c r="K27" s="359"/>
      <c r="L27" s="359"/>
      <c r="M27" s="359"/>
      <c r="N27" s="359"/>
      <c r="O27" s="359"/>
      <c r="P27" s="359"/>
      <c r="Q27" s="359"/>
      <c r="R27" s="359"/>
      <c r="S27" s="361"/>
      <c r="T27" s="362"/>
      <c r="U27" s="363"/>
      <c r="V27" s="363"/>
    </row>
    <row r="28" spans="1:29">
      <c r="A28" s="367"/>
      <c r="B28" s="277"/>
      <c r="C28" s="277"/>
      <c r="D28" s="368"/>
      <c r="E28" s="368"/>
      <c r="F28" s="368"/>
      <c r="G28" s="369"/>
      <c r="H28" s="369"/>
      <c r="I28" s="278"/>
      <c r="J28" s="370"/>
      <c r="K28" s="370"/>
      <c r="L28" s="370"/>
      <c r="M28" s="370"/>
      <c r="N28" s="370"/>
      <c r="O28" s="370"/>
      <c r="P28" s="370"/>
      <c r="Q28" s="370"/>
      <c r="R28" s="370"/>
      <c r="S28" s="279"/>
      <c r="T28" s="362"/>
      <c r="U28" s="363"/>
      <c r="V28" s="363"/>
    </row>
    <row r="29" spans="1:29">
      <c r="A29" s="354">
        <v>4</v>
      </c>
      <c r="B29" s="355"/>
      <c r="C29" s="355"/>
      <c r="D29" s="356"/>
      <c r="E29" s="356"/>
      <c r="F29" s="356"/>
      <c r="G29" s="357"/>
      <c r="H29" s="357"/>
      <c r="I29" s="358"/>
      <c r="J29" s="359"/>
      <c r="K29" s="359"/>
      <c r="L29" s="359"/>
      <c r="M29" s="359"/>
      <c r="N29" s="359"/>
      <c r="O29" s="359"/>
      <c r="P29" s="359"/>
      <c r="Q29" s="359"/>
      <c r="R29" s="359"/>
      <c r="S29" s="361"/>
      <c r="T29" s="362"/>
      <c r="U29" s="363"/>
      <c r="V29" s="363"/>
    </row>
    <row r="30" spans="1:29">
      <c r="A30" s="354"/>
      <c r="B30" s="371"/>
      <c r="C30" s="371"/>
      <c r="D30" s="365"/>
      <c r="E30" s="365"/>
      <c r="F30" s="365"/>
      <c r="G30" s="366"/>
      <c r="H30" s="366"/>
      <c r="I30" s="358"/>
      <c r="J30" s="359"/>
      <c r="K30" s="359"/>
      <c r="L30" s="359"/>
      <c r="M30" s="359"/>
      <c r="N30" s="359"/>
      <c r="O30" s="359"/>
      <c r="P30" s="359"/>
      <c r="Q30" s="359"/>
      <c r="R30" s="359"/>
      <c r="S30" s="361"/>
      <c r="T30" s="362"/>
      <c r="U30" s="363"/>
      <c r="V30" s="363"/>
    </row>
    <row r="31" spans="1:29">
      <c r="A31" s="367"/>
      <c r="B31" s="277"/>
      <c r="C31" s="277"/>
      <c r="D31" s="368"/>
      <c r="E31" s="368"/>
      <c r="F31" s="368"/>
      <c r="G31" s="369"/>
      <c r="H31" s="369"/>
      <c r="I31" s="278"/>
      <c r="J31" s="370"/>
      <c r="K31" s="370"/>
      <c r="L31" s="370"/>
      <c r="M31" s="370"/>
      <c r="N31" s="370"/>
      <c r="O31" s="370"/>
      <c r="P31" s="370"/>
      <c r="Q31" s="370"/>
      <c r="R31" s="370"/>
      <c r="S31" s="279"/>
      <c r="T31" s="362"/>
      <c r="U31" s="363"/>
      <c r="V31" s="363"/>
    </row>
    <row r="32" spans="1:29">
      <c r="A32" s="354">
        <v>5</v>
      </c>
      <c r="B32" s="355"/>
      <c r="C32" s="355"/>
      <c r="D32" s="356"/>
      <c r="E32" s="356"/>
      <c r="F32" s="356"/>
      <c r="G32" s="357"/>
      <c r="H32" s="357"/>
      <c r="I32" s="358"/>
      <c r="J32" s="359"/>
      <c r="K32" s="359"/>
      <c r="L32" s="359"/>
      <c r="M32" s="359"/>
      <c r="N32" s="359"/>
      <c r="O32" s="359"/>
      <c r="P32" s="359"/>
      <c r="Q32" s="359"/>
      <c r="R32" s="359"/>
      <c r="S32" s="361"/>
      <c r="T32" s="362"/>
      <c r="U32" s="363"/>
      <c r="V32" s="363"/>
    </row>
    <row r="33" spans="1:22">
      <c r="A33" s="354"/>
      <c r="B33" s="371"/>
      <c r="C33" s="371"/>
      <c r="D33" s="365"/>
      <c r="E33" s="365"/>
      <c r="F33" s="365"/>
      <c r="G33" s="366"/>
      <c r="H33" s="366"/>
      <c r="I33" s="358"/>
      <c r="J33" s="359"/>
      <c r="K33" s="359"/>
      <c r="L33" s="359"/>
      <c r="M33" s="359"/>
      <c r="N33" s="359"/>
      <c r="O33" s="359"/>
      <c r="P33" s="359"/>
      <c r="Q33" s="359"/>
      <c r="R33" s="359"/>
      <c r="S33" s="361"/>
      <c r="T33" s="362"/>
      <c r="U33" s="363"/>
      <c r="V33" s="363"/>
    </row>
    <row r="34" spans="1:22">
      <c r="A34" s="367"/>
      <c r="B34" s="277"/>
      <c r="C34" s="277"/>
      <c r="D34" s="368"/>
      <c r="E34" s="368"/>
      <c r="F34" s="368"/>
      <c r="G34" s="369"/>
      <c r="H34" s="369"/>
      <c r="I34" s="278"/>
      <c r="J34" s="370"/>
      <c r="K34" s="370"/>
      <c r="L34" s="370"/>
      <c r="M34" s="370"/>
      <c r="N34" s="370"/>
      <c r="O34" s="370"/>
      <c r="P34" s="370"/>
      <c r="Q34" s="370"/>
      <c r="R34" s="370"/>
      <c r="S34" s="279"/>
      <c r="T34" s="362"/>
      <c r="U34" s="363"/>
      <c r="V34" s="363"/>
    </row>
    <row r="35" spans="1:22">
      <c r="A35" s="354">
        <v>6</v>
      </c>
      <c r="B35" s="355"/>
      <c r="C35" s="355"/>
      <c r="D35" s="356"/>
      <c r="E35" s="356"/>
      <c r="F35" s="356"/>
      <c r="G35" s="357"/>
      <c r="H35" s="357"/>
      <c r="I35" s="358"/>
      <c r="J35" s="359"/>
      <c r="K35" s="359"/>
      <c r="L35" s="359"/>
      <c r="M35" s="359"/>
      <c r="N35" s="359"/>
      <c r="O35" s="359"/>
      <c r="P35" s="359"/>
      <c r="Q35" s="359"/>
      <c r="R35" s="359"/>
      <c r="S35" s="361"/>
      <c r="T35" s="362"/>
      <c r="U35" s="363"/>
      <c r="V35" s="363"/>
    </row>
    <row r="36" spans="1:22">
      <c r="A36" s="354"/>
      <c r="B36" s="371"/>
      <c r="C36" s="371"/>
      <c r="D36" s="365"/>
      <c r="E36" s="365"/>
      <c r="F36" s="365"/>
      <c r="G36" s="366"/>
      <c r="H36" s="366"/>
      <c r="I36" s="358"/>
      <c r="J36" s="359"/>
      <c r="K36" s="359"/>
      <c r="L36" s="359"/>
      <c r="M36" s="359"/>
      <c r="N36" s="359"/>
      <c r="O36" s="359"/>
      <c r="P36" s="359"/>
      <c r="Q36" s="359"/>
      <c r="R36" s="359"/>
      <c r="S36" s="361"/>
      <c r="T36" s="362"/>
      <c r="U36" s="363"/>
      <c r="V36" s="363"/>
    </row>
    <row r="37" spans="1:22">
      <c r="A37" s="367"/>
      <c r="B37" s="277"/>
      <c r="C37" s="277"/>
      <c r="D37" s="368"/>
      <c r="E37" s="368"/>
      <c r="F37" s="368"/>
      <c r="G37" s="369"/>
      <c r="H37" s="369"/>
      <c r="I37" s="278"/>
      <c r="J37" s="370"/>
      <c r="K37" s="370"/>
      <c r="L37" s="370"/>
      <c r="M37" s="370"/>
      <c r="N37" s="370"/>
      <c r="O37" s="370"/>
      <c r="P37" s="370"/>
      <c r="Q37" s="370"/>
      <c r="R37" s="370"/>
      <c r="S37" s="279"/>
      <c r="T37" s="362"/>
      <c r="U37" s="363"/>
      <c r="V37" s="363"/>
    </row>
    <row r="38" spans="1:22">
      <c r="A38" s="354">
        <v>7</v>
      </c>
      <c r="B38" s="355"/>
      <c r="C38" s="355"/>
      <c r="D38" s="356"/>
      <c r="E38" s="356"/>
      <c r="F38" s="356"/>
      <c r="G38" s="357"/>
      <c r="H38" s="357"/>
      <c r="I38" s="358"/>
      <c r="J38" s="359"/>
      <c r="K38" s="359"/>
      <c r="L38" s="359"/>
      <c r="M38" s="359"/>
      <c r="N38" s="359"/>
      <c r="O38" s="359"/>
      <c r="P38" s="359"/>
      <c r="Q38" s="359"/>
      <c r="R38" s="359"/>
      <c r="S38" s="361"/>
      <c r="T38" s="362"/>
      <c r="U38" s="363"/>
      <c r="V38" s="363"/>
    </row>
    <row r="39" spans="1:22">
      <c r="A39" s="354"/>
      <c r="B39" s="371"/>
      <c r="C39" s="371"/>
      <c r="D39" s="365"/>
      <c r="E39" s="365"/>
      <c r="F39" s="365"/>
      <c r="G39" s="366"/>
      <c r="H39" s="366"/>
      <c r="I39" s="358"/>
      <c r="J39" s="359"/>
      <c r="K39" s="359"/>
      <c r="L39" s="359"/>
      <c r="M39" s="359"/>
      <c r="N39" s="359"/>
      <c r="O39" s="359"/>
      <c r="P39" s="359"/>
      <c r="Q39" s="359"/>
      <c r="R39" s="359"/>
      <c r="S39" s="361"/>
      <c r="T39" s="362"/>
      <c r="U39" s="363"/>
      <c r="V39" s="363"/>
    </row>
    <row r="40" spans="1:22">
      <c r="A40" s="367"/>
      <c r="B40" s="277"/>
      <c r="C40" s="277"/>
      <c r="D40" s="368"/>
      <c r="E40" s="368"/>
      <c r="F40" s="368"/>
      <c r="G40" s="369"/>
      <c r="H40" s="369"/>
      <c r="I40" s="278"/>
      <c r="J40" s="370"/>
      <c r="K40" s="370"/>
      <c r="L40" s="370"/>
      <c r="M40" s="370"/>
      <c r="N40" s="370"/>
      <c r="O40" s="370"/>
      <c r="P40" s="370"/>
      <c r="Q40" s="370"/>
      <c r="R40" s="370"/>
      <c r="S40" s="279"/>
      <c r="T40" s="362"/>
      <c r="U40" s="363"/>
      <c r="V40" s="363"/>
    </row>
    <row r="41" spans="1:22">
      <c r="A41" s="354">
        <v>8</v>
      </c>
      <c r="B41" s="355"/>
      <c r="C41" s="355"/>
      <c r="D41" s="356"/>
      <c r="E41" s="356"/>
      <c r="F41" s="356"/>
      <c r="G41" s="357"/>
      <c r="H41" s="357"/>
      <c r="I41" s="358"/>
      <c r="J41" s="359"/>
      <c r="K41" s="359"/>
      <c r="L41" s="359"/>
      <c r="M41" s="359"/>
      <c r="N41" s="359"/>
      <c r="O41" s="359"/>
      <c r="P41" s="359"/>
      <c r="Q41" s="359"/>
      <c r="R41" s="359"/>
      <c r="S41" s="361"/>
      <c r="T41" s="362"/>
      <c r="U41" s="363"/>
      <c r="V41" s="363"/>
    </row>
    <row r="42" spans="1:22">
      <c r="A42" s="354"/>
      <c r="B42" s="371"/>
      <c r="C42" s="371"/>
      <c r="D42" s="365"/>
      <c r="E42" s="365"/>
      <c r="F42" s="365"/>
      <c r="G42" s="366"/>
      <c r="H42" s="366"/>
      <c r="I42" s="358"/>
      <c r="J42" s="359"/>
      <c r="K42" s="359"/>
      <c r="L42" s="359"/>
      <c r="M42" s="359"/>
      <c r="N42" s="359"/>
      <c r="O42" s="359"/>
      <c r="P42" s="359"/>
      <c r="Q42" s="359"/>
      <c r="R42" s="359"/>
      <c r="S42" s="361"/>
      <c r="T42" s="362"/>
      <c r="U42" s="363"/>
      <c r="V42" s="363"/>
    </row>
    <row r="43" spans="1:22">
      <c r="A43" s="367"/>
      <c r="B43" s="277"/>
      <c r="C43" s="277"/>
      <c r="D43" s="368"/>
      <c r="E43" s="368"/>
      <c r="F43" s="368"/>
      <c r="G43" s="369"/>
      <c r="H43" s="369"/>
      <c r="I43" s="278"/>
      <c r="J43" s="370"/>
      <c r="K43" s="370"/>
      <c r="L43" s="370"/>
      <c r="M43" s="370"/>
      <c r="N43" s="370"/>
      <c r="O43" s="370"/>
      <c r="P43" s="370"/>
      <c r="Q43" s="370"/>
      <c r="R43" s="370"/>
      <c r="S43" s="279"/>
      <c r="T43" s="362"/>
      <c r="U43" s="363"/>
      <c r="V43" s="363"/>
    </row>
    <row r="44" spans="1:22">
      <c r="A44" s="354">
        <v>9</v>
      </c>
      <c r="B44" s="355"/>
      <c r="C44" s="355"/>
      <c r="D44" s="356"/>
      <c r="E44" s="356"/>
      <c r="F44" s="356"/>
      <c r="G44" s="357"/>
      <c r="H44" s="357"/>
      <c r="I44" s="358"/>
      <c r="J44" s="359"/>
      <c r="K44" s="359"/>
      <c r="L44" s="359"/>
      <c r="M44" s="359"/>
      <c r="N44" s="359"/>
      <c r="O44" s="359"/>
      <c r="P44" s="359"/>
      <c r="Q44" s="359"/>
      <c r="R44" s="359"/>
      <c r="S44" s="361"/>
      <c r="T44" s="362"/>
      <c r="U44" s="363"/>
      <c r="V44" s="363"/>
    </row>
    <row r="45" spans="1:22">
      <c r="A45" s="354"/>
      <c r="B45" s="371"/>
      <c r="C45" s="371"/>
      <c r="D45" s="365"/>
      <c r="E45" s="365"/>
      <c r="F45" s="365"/>
      <c r="G45" s="366"/>
      <c r="H45" s="366"/>
      <c r="I45" s="358"/>
      <c r="J45" s="359"/>
      <c r="K45" s="359"/>
      <c r="L45" s="359"/>
      <c r="M45" s="359"/>
      <c r="N45" s="359"/>
      <c r="O45" s="359"/>
      <c r="P45" s="359"/>
      <c r="Q45" s="359"/>
      <c r="R45" s="359"/>
      <c r="S45" s="361"/>
      <c r="T45" s="362"/>
      <c r="U45" s="363"/>
      <c r="V45" s="363"/>
    </row>
    <row r="46" spans="1:22">
      <c r="A46" s="367"/>
      <c r="B46" s="277"/>
      <c r="C46" s="277"/>
      <c r="D46" s="368"/>
      <c r="E46" s="368"/>
      <c r="F46" s="368"/>
      <c r="G46" s="369"/>
      <c r="H46" s="369"/>
      <c r="I46" s="278"/>
      <c r="J46" s="370"/>
      <c r="K46" s="370"/>
      <c r="L46" s="370"/>
      <c r="M46" s="370"/>
      <c r="N46" s="370"/>
      <c r="O46" s="370"/>
      <c r="P46" s="370"/>
      <c r="Q46" s="370"/>
      <c r="R46" s="370"/>
      <c r="S46" s="279"/>
      <c r="T46" s="362"/>
      <c r="U46" s="363"/>
      <c r="V46" s="363"/>
    </row>
    <row r="47" spans="1:22">
      <c r="A47" s="354">
        <v>10</v>
      </c>
      <c r="B47" s="355"/>
      <c r="C47" s="355"/>
      <c r="D47" s="356"/>
      <c r="E47" s="356"/>
      <c r="F47" s="356"/>
      <c r="G47" s="357"/>
      <c r="H47" s="357"/>
      <c r="I47" s="358"/>
      <c r="J47" s="359"/>
      <c r="K47" s="359"/>
      <c r="L47" s="359"/>
      <c r="M47" s="359"/>
      <c r="N47" s="359"/>
      <c r="O47" s="359"/>
      <c r="P47" s="359"/>
      <c r="Q47" s="359"/>
      <c r="R47" s="359"/>
      <c r="S47" s="361"/>
      <c r="T47" s="362"/>
      <c r="U47" s="363"/>
      <c r="V47" s="363"/>
    </row>
    <row r="48" spans="1:22">
      <c r="A48" s="354"/>
      <c r="B48" s="371"/>
      <c r="C48" s="371"/>
      <c r="D48" s="365"/>
      <c r="E48" s="365"/>
      <c r="F48" s="365"/>
      <c r="G48" s="366"/>
      <c r="H48" s="366"/>
      <c r="I48" s="358"/>
      <c r="J48" s="359"/>
      <c r="K48" s="359"/>
      <c r="L48" s="359"/>
      <c r="M48" s="359"/>
      <c r="N48" s="359"/>
      <c r="O48" s="359"/>
      <c r="P48" s="359"/>
      <c r="Q48" s="359"/>
      <c r="R48" s="359"/>
      <c r="S48" s="361"/>
      <c r="T48" s="362"/>
      <c r="U48" s="363"/>
      <c r="V48" s="363"/>
    </row>
    <row r="49" spans="1:22">
      <c r="A49" s="367"/>
      <c r="B49" s="277"/>
      <c r="C49" s="277"/>
      <c r="D49" s="368"/>
      <c r="E49" s="368"/>
      <c r="F49" s="368"/>
      <c r="G49" s="369"/>
      <c r="H49" s="369"/>
      <c r="I49" s="278"/>
      <c r="J49" s="370"/>
      <c r="K49" s="370"/>
      <c r="L49" s="370"/>
      <c r="M49" s="370"/>
      <c r="N49" s="370"/>
      <c r="O49" s="370"/>
      <c r="P49" s="370"/>
      <c r="Q49" s="370"/>
      <c r="R49" s="370"/>
      <c r="S49" s="279"/>
      <c r="T49" s="362"/>
      <c r="U49" s="363"/>
      <c r="V49" s="363"/>
    </row>
    <row r="50" spans="1:22">
      <c r="A50" s="354">
        <v>11</v>
      </c>
      <c r="B50" s="355"/>
      <c r="C50" s="355"/>
      <c r="D50" s="356"/>
      <c r="E50" s="356"/>
      <c r="F50" s="356"/>
      <c r="G50" s="357"/>
      <c r="H50" s="357"/>
      <c r="I50" s="358"/>
      <c r="J50" s="359"/>
      <c r="K50" s="359"/>
      <c r="L50" s="359"/>
      <c r="M50" s="359"/>
      <c r="N50" s="359"/>
      <c r="O50" s="359"/>
      <c r="P50" s="359"/>
      <c r="Q50" s="359"/>
      <c r="R50" s="359"/>
      <c r="S50" s="361"/>
      <c r="T50" s="362"/>
      <c r="U50" s="363"/>
      <c r="V50" s="363"/>
    </row>
    <row r="51" spans="1:22">
      <c r="A51" s="354"/>
      <c r="B51" s="371"/>
      <c r="C51" s="371"/>
      <c r="D51" s="365"/>
      <c r="E51" s="365"/>
      <c r="F51" s="365"/>
      <c r="G51" s="366"/>
      <c r="H51" s="366"/>
      <c r="I51" s="358"/>
      <c r="J51" s="359"/>
      <c r="K51" s="359"/>
      <c r="L51" s="359"/>
      <c r="M51" s="359"/>
      <c r="N51" s="359"/>
      <c r="O51" s="359"/>
      <c r="P51" s="359"/>
      <c r="Q51" s="359"/>
      <c r="R51" s="359"/>
      <c r="S51" s="361"/>
      <c r="T51" s="362"/>
      <c r="U51" s="363"/>
      <c r="V51" s="363"/>
    </row>
    <row r="52" spans="1:22">
      <c r="A52" s="367"/>
      <c r="B52" s="277"/>
      <c r="C52" s="277"/>
      <c r="D52" s="368"/>
      <c r="E52" s="368"/>
      <c r="F52" s="368"/>
      <c r="G52" s="369"/>
      <c r="H52" s="369"/>
      <c r="I52" s="278"/>
      <c r="J52" s="370"/>
      <c r="K52" s="370"/>
      <c r="L52" s="370"/>
      <c r="M52" s="370"/>
      <c r="N52" s="370"/>
      <c r="O52" s="370"/>
      <c r="P52" s="370"/>
      <c r="Q52" s="370"/>
      <c r="R52" s="370"/>
      <c r="S52" s="279"/>
      <c r="T52" s="362"/>
      <c r="U52" s="363"/>
      <c r="V52" s="363"/>
    </row>
    <row r="53" spans="1:22">
      <c r="A53" s="354">
        <v>12</v>
      </c>
      <c r="B53" s="355"/>
      <c r="C53" s="355"/>
      <c r="D53" s="356"/>
      <c r="E53" s="356"/>
      <c r="F53" s="356"/>
      <c r="G53" s="357"/>
      <c r="H53" s="357"/>
      <c r="I53" s="358"/>
      <c r="J53" s="359"/>
      <c r="K53" s="359"/>
      <c r="L53" s="359"/>
      <c r="M53" s="359"/>
      <c r="N53" s="359"/>
      <c r="O53" s="359"/>
      <c r="P53" s="359"/>
      <c r="Q53" s="359"/>
      <c r="R53" s="359"/>
      <c r="S53" s="361"/>
      <c r="T53" s="362"/>
      <c r="U53" s="363"/>
      <c r="V53" s="363"/>
    </row>
    <row r="54" spans="1:22">
      <c r="A54" s="354"/>
      <c r="B54" s="371"/>
      <c r="C54" s="371"/>
      <c r="D54" s="365"/>
      <c r="E54" s="365"/>
      <c r="F54" s="365"/>
      <c r="G54" s="366"/>
      <c r="H54" s="366"/>
      <c r="I54" s="358"/>
      <c r="J54" s="359"/>
      <c r="K54" s="359"/>
      <c r="L54" s="359"/>
      <c r="M54" s="359"/>
      <c r="N54" s="359"/>
      <c r="O54" s="359"/>
      <c r="P54" s="359"/>
      <c r="Q54" s="359"/>
      <c r="R54" s="359"/>
      <c r="S54" s="361"/>
      <c r="T54" s="362"/>
      <c r="U54" s="363"/>
      <c r="V54" s="363"/>
    </row>
    <row r="55" spans="1:22">
      <c r="A55" s="367"/>
      <c r="B55" s="277"/>
      <c r="C55" s="277"/>
      <c r="D55" s="368"/>
      <c r="E55" s="368"/>
      <c r="F55" s="368"/>
      <c r="G55" s="369"/>
      <c r="H55" s="369"/>
      <c r="I55" s="278"/>
      <c r="J55" s="370"/>
      <c r="K55" s="370"/>
      <c r="L55" s="370"/>
      <c r="M55" s="370"/>
      <c r="N55" s="370"/>
      <c r="O55" s="370"/>
      <c r="P55" s="370"/>
      <c r="Q55" s="370"/>
      <c r="R55" s="370"/>
      <c r="S55" s="279"/>
      <c r="T55" s="362"/>
      <c r="U55" s="363"/>
      <c r="V55" s="363"/>
    </row>
    <row r="56" spans="1:22">
      <c r="A56" s="354">
        <v>13</v>
      </c>
      <c r="B56" s="355"/>
      <c r="C56" s="355"/>
      <c r="D56" s="356"/>
      <c r="E56" s="356"/>
      <c r="F56" s="356"/>
      <c r="G56" s="357"/>
      <c r="H56" s="357"/>
      <c r="I56" s="358"/>
      <c r="J56" s="359"/>
      <c r="K56" s="359"/>
      <c r="L56" s="359"/>
      <c r="M56" s="359"/>
      <c r="N56" s="359"/>
      <c r="O56" s="359"/>
      <c r="P56" s="359"/>
      <c r="Q56" s="359"/>
      <c r="R56" s="359"/>
      <c r="S56" s="361"/>
      <c r="T56" s="362"/>
      <c r="U56" s="363"/>
      <c r="V56" s="363"/>
    </row>
    <row r="57" spans="1:22">
      <c r="A57" s="354"/>
      <c r="B57" s="371"/>
      <c r="C57" s="371"/>
      <c r="D57" s="365"/>
      <c r="E57" s="365"/>
      <c r="F57" s="365"/>
      <c r="G57" s="366"/>
      <c r="H57" s="366"/>
      <c r="I57" s="358"/>
      <c r="J57" s="359"/>
      <c r="K57" s="359"/>
      <c r="L57" s="359"/>
      <c r="M57" s="359"/>
      <c r="N57" s="359"/>
      <c r="O57" s="359"/>
      <c r="P57" s="359"/>
      <c r="Q57" s="359"/>
      <c r="R57" s="359"/>
      <c r="S57" s="361"/>
      <c r="T57" s="362"/>
      <c r="U57" s="363"/>
      <c r="V57" s="363"/>
    </row>
    <row r="58" spans="1:22">
      <c r="A58" s="367"/>
      <c r="B58" s="277"/>
      <c r="C58" s="277"/>
      <c r="D58" s="368"/>
      <c r="E58" s="368"/>
      <c r="F58" s="368"/>
      <c r="G58" s="369"/>
      <c r="H58" s="369"/>
      <c r="I58" s="278"/>
      <c r="J58" s="370"/>
      <c r="K58" s="370"/>
      <c r="L58" s="370"/>
      <c r="M58" s="370"/>
      <c r="N58" s="370"/>
      <c r="O58" s="370"/>
      <c r="P58" s="370"/>
      <c r="Q58" s="370"/>
      <c r="R58" s="370"/>
      <c r="S58" s="279"/>
      <c r="T58" s="362"/>
      <c r="U58" s="363"/>
      <c r="V58" s="363"/>
    </row>
    <row r="59" spans="1:22">
      <c r="A59" s="354">
        <v>14</v>
      </c>
      <c r="B59" s="355"/>
      <c r="C59" s="355"/>
      <c r="D59" s="356"/>
      <c r="E59" s="356"/>
      <c r="F59" s="356"/>
      <c r="G59" s="357"/>
      <c r="H59" s="357"/>
      <c r="I59" s="358"/>
      <c r="J59" s="359"/>
      <c r="K59" s="359"/>
      <c r="L59" s="359"/>
      <c r="M59" s="359"/>
      <c r="N59" s="359"/>
      <c r="O59" s="359"/>
      <c r="P59" s="359"/>
      <c r="Q59" s="359"/>
      <c r="R59" s="359"/>
      <c r="S59" s="361"/>
      <c r="T59" s="362"/>
      <c r="U59" s="363"/>
      <c r="V59" s="363"/>
    </row>
    <row r="60" spans="1:22">
      <c r="A60" s="354"/>
      <c r="B60" s="371"/>
      <c r="C60" s="371"/>
      <c r="D60" s="365"/>
      <c r="E60" s="365"/>
      <c r="F60" s="365"/>
      <c r="G60" s="366"/>
      <c r="H60" s="366"/>
      <c r="I60" s="358"/>
      <c r="J60" s="359"/>
      <c r="K60" s="359"/>
      <c r="L60" s="359"/>
      <c r="M60" s="359"/>
      <c r="N60" s="359"/>
      <c r="O60" s="359"/>
      <c r="P60" s="359"/>
      <c r="Q60" s="359"/>
      <c r="R60" s="359"/>
      <c r="S60" s="361"/>
      <c r="T60" s="362"/>
      <c r="U60" s="363"/>
      <c r="V60" s="363"/>
    </row>
    <row r="61" spans="1:22">
      <c r="A61" s="367"/>
      <c r="B61" s="277"/>
      <c r="C61" s="277"/>
      <c r="D61" s="368"/>
      <c r="E61" s="368"/>
      <c r="F61" s="368"/>
      <c r="G61" s="369"/>
      <c r="H61" s="369"/>
      <c r="I61" s="278"/>
      <c r="J61" s="370"/>
      <c r="K61" s="370"/>
      <c r="L61" s="370"/>
      <c r="M61" s="370"/>
      <c r="N61" s="370"/>
      <c r="O61" s="370"/>
      <c r="P61" s="370"/>
      <c r="Q61" s="370"/>
      <c r="R61" s="370"/>
      <c r="S61" s="279"/>
      <c r="T61" s="362"/>
      <c r="U61" s="363"/>
      <c r="V61" s="363"/>
    </row>
    <row r="62" spans="1:22">
      <c r="A62" s="354">
        <v>15</v>
      </c>
      <c r="B62" s="355"/>
      <c r="C62" s="355"/>
      <c r="D62" s="356"/>
      <c r="E62" s="356"/>
      <c r="F62" s="356"/>
      <c r="G62" s="357"/>
      <c r="H62" s="357"/>
      <c r="I62" s="358"/>
      <c r="J62" s="359"/>
      <c r="K62" s="359"/>
      <c r="L62" s="359"/>
      <c r="M62" s="359"/>
      <c r="N62" s="359"/>
      <c r="O62" s="359"/>
      <c r="P62" s="359"/>
      <c r="Q62" s="359"/>
      <c r="R62" s="359"/>
      <c r="S62" s="361"/>
      <c r="T62" s="362"/>
      <c r="U62" s="363"/>
      <c r="V62" s="363"/>
    </row>
    <row r="63" spans="1:22">
      <c r="A63" s="354"/>
      <c r="B63" s="371"/>
      <c r="C63" s="371"/>
      <c r="D63" s="365"/>
      <c r="E63" s="365"/>
      <c r="F63" s="365"/>
      <c r="G63" s="366"/>
      <c r="H63" s="366"/>
      <c r="I63" s="358"/>
      <c r="J63" s="359"/>
      <c r="K63" s="359"/>
      <c r="L63" s="359"/>
      <c r="M63" s="359"/>
      <c r="N63" s="359"/>
      <c r="O63" s="359"/>
      <c r="P63" s="359"/>
      <c r="Q63" s="359"/>
      <c r="R63" s="359"/>
      <c r="S63" s="361"/>
      <c r="T63" s="362"/>
      <c r="U63" s="363"/>
      <c r="V63" s="363"/>
    </row>
    <row r="64" spans="1:22">
      <c r="A64" s="367"/>
      <c r="B64" s="277"/>
      <c r="C64" s="277"/>
      <c r="D64" s="368"/>
      <c r="E64" s="368"/>
      <c r="F64" s="368"/>
      <c r="G64" s="369"/>
      <c r="H64" s="369"/>
      <c r="I64" s="278"/>
      <c r="J64" s="370"/>
      <c r="K64" s="370"/>
      <c r="L64" s="370"/>
      <c r="M64" s="370"/>
      <c r="N64" s="370"/>
      <c r="O64" s="370"/>
      <c r="P64" s="370"/>
      <c r="Q64" s="370"/>
      <c r="R64" s="370"/>
      <c r="S64" s="279"/>
      <c r="T64" s="362"/>
      <c r="U64" s="363"/>
      <c r="V64" s="363"/>
    </row>
    <row r="65" spans="1:44">
      <c r="A65" s="354">
        <v>16</v>
      </c>
      <c r="B65" s="355"/>
      <c r="C65" s="355"/>
      <c r="D65" s="356"/>
      <c r="E65" s="356"/>
      <c r="F65" s="356"/>
      <c r="G65" s="357"/>
      <c r="H65" s="357"/>
      <c r="I65" s="358"/>
      <c r="J65" s="359"/>
      <c r="K65" s="359"/>
      <c r="L65" s="359"/>
      <c r="M65" s="359"/>
      <c r="N65" s="359"/>
      <c r="O65" s="359"/>
      <c r="P65" s="359"/>
      <c r="Q65" s="359"/>
      <c r="R65" s="359"/>
      <c r="S65" s="361"/>
      <c r="T65" s="362"/>
      <c r="U65" s="363"/>
      <c r="V65" s="363"/>
    </row>
    <row r="66" spans="1:44">
      <c r="A66" s="354"/>
      <c r="B66" s="371"/>
      <c r="C66" s="371"/>
      <c r="D66" s="365"/>
      <c r="E66" s="365"/>
      <c r="F66" s="365"/>
      <c r="G66" s="366"/>
      <c r="H66" s="366"/>
      <c r="I66" s="358"/>
      <c r="J66" s="359"/>
      <c r="K66" s="359"/>
      <c r="L66" s="359"/>
      <c r="M66" s="359"/>
      <c r="N66" s="359"/>
      <c r="O66" s="359"/>
      <c r="P66" s="359"/>
      <c r="Q66" s="359"/>
      <c r="R66" s="359"/>
      <c r="S66" s="361"/>
      <c r="T66" s="362"/>
      <c r="U66" s="363"/>
      <c r="V66" s="363"/>
      <c r="AR66" s="372"/>
    </row>
    <row r="67" spans="1:44">
      <c r="A67" s="367"/>
      <c r="B67" s="277"/>
      <c r="C67" s="277"/>
      <c r="D67" s="368"/>
      <c r="E67" s="368"/>
      <c r="F67" s="368"/>
      <c r="G67" s="369"/>
      <c r="H67" s="369"/>
      <c r="I67" s="278"/>
      <c r="J67" s="370"/>
      <c r="K67" s="370"/>
      <c r="L67" s="370"/>
      <c r="M67" s="370"/>
      <c r="N67" s="370"/>
      <c r="O67" s="370"/>
      <c r="P67" s="370"/>
      <c r="Q67" s="370"/>
      <c r="R67" s="370"/>
      <c r="S67" s="279"/>
      <c r="T67" s="362"/>
      <c r="U67" s="363"/>
      <c r="V67" s="363"/>
    </row>
    <row r="68" spans="1:44">
      <c r="A68" s="354">
        <v>17</v>
      </c>
      <c r="B68" s="355"/>
      <c r="C68" s="355"/>
      <c r="D68" s="356"/>
      <c r="E68" s="356"/>
      <c r="F68" s="356"/>
      <c r="G68" s="357"/>
      <c r="H68" s="357"/>
      <c r="I68" s="358"/>
      <c r="J68" s="359"/>
      <c r="K68" s="359"/>
      <c r="L68" s="359"/>
      <c r="M68" s="359"/>
      <c r="N68" s="359"/>
      <c r="O68" s="359"/>
      <c r="P68" s="359"/>
      <c r="Q68" s="359"/>
      <c r="R68" s="359"/>
      <c r="S68" s="361"/>
      <c r="T68" s="362"/>
      <c r="U68" s="363"/>
      <c r="V68" s="363"/>
    </row>
    <row r="69" spans="1:44">
      <c r="A69" s="354"/>
      <c r="B69" s="371"/>
      <c r="C69" s="371"/>
      <c r="D69" s="365"/>
      <c r="E69" s="365"/>
      <c r="F69" s="365"/>
      <c r="G69" s="366"/>
      <c r="H69" s="366"/>
      <c r="I69" s="358"/>
      <c r="J69" s="359"/>
      <c r="K69" s="359"/>
      <c r="L69" s="359"/>
      <c r="M69" s="359"/>
      <c r="N69" s="359"/>
      <c r="O69" s="359"/>
      <c r="P69" s="359"/>
      <c r="Q69" s="359"/>
      <c r="R69" s="359"/>
      <c r="S69" s="361"/>
      <c r="T69" s="362"/>
      <c r="U69" s="363"/>
      <c r="V69" s="363"/>
    </row>
    <row r="70" spans="1:44">
      <c r="A70" s="367"/>
      <c r="B70" s="277"/>
      <c r="C70" s="277"/>
      <c r="D70" s="368"/>
      <c r="E70" s="368"/>
      <c r="F70" s="368"/>
      <c r="G70" s="369"/>
      <c r="H70" s="369"/>
      <c r="I70" s="278"/>
      <c r="J70" s="370"/>
      <c r="K70" s="370"/>
      <c r="L70" s="370"/>
      <c r="M70" s="370"/>
      <c r="N70" s="370"/>
      <c r="O70" s="370"/>
      <c r="P70" s="370"/>
      <c r="Q70" s="370"/>
      <c r="R70" s="370"/>
      <c r="S70" s="279"/>
      <c r="T70" s="362"/>
      <c r="U70" s="363"/>
      <c r="V70" s="363"/>
    </row>
    <row r="71" spans="1:44">
      <c r="A71" s="354">
        <v>18</v>
      </c>
      <c r="B71" s="355"/>
      <c r="C71" s="355"/>
      <c r="D71" s="356"/>
      <c r="E71" s="356"/>
      <c r="F71" s="356"/>
      <c r="G71" s="357"/>
      <c r="H71" s="357"/>
      <c r="I71" s="358"/>
      <c r="J71" s="359"/>
      <c r="K71" s="359"/>
      <c r="L71" s="359"/>
      <c r="M71" s="359"/>
      <c r="N71" s="359"/>
      <c r="O71" s="359"/>
      <c r="P71" s="359"/>
      <c r="Q71" s="359"/>
      <c r="R71" s="359"/>
      <c r="S71" s="361"/>
      <c r="T71" s="362"/>
      <c r="U71" s="363"/>
      <c r="V71" s="363"/>
    </row>
    <row r="72" spans="1:44">
      <c r="A72" s="354"/>
      <c r="B72" s="371"/>
      <c r="C72" s="371"/>
      <c r="D72" s="365"/>
      <c r="E72" s="365"/>
      <c r="F72" s="365"/>
      <c r="G72" s="366"/>
      <c r="H72" s="366"/>
      <c r="I72" s="358"/>
      <c r="J72" s="359"/>
      <c r="K72" s="359"/>
      <c r="L72" s="359"/>
      <c r="M72" s="359"/>
      <c r="N72" s="359"/>
      <c r="O72" s="359"/>
      <c r="P72" s="359"/>
      <c r="Q72" s="359"/>
      <c r="R72" s="359"/>
      <c r="S72" s="361"/>
      <c r="T72" s="362"/>
      <c r="U72" s="363"/>
      <c r="V72" s="363"/>
    </row>
    <row r="73" spans="1:44">
      <c r="A73" s="367"/>
      <c r="B73" s="277"/>
      <c r="C73" s="277"/>
      <c r="D73" s="368"/>
      <c r="E73" s="368"/>
      <c r="F73" s="368"/>
      <c r="G73" s="369"/>
      <c r="H73" s="369"/>
      <c r="I73" s="278"/>
      <c r="J73" s="370"/>
      <c r="K73" s="370"/>
      <c r="L73" s="370"/>
      <c r="M73" s="370"/>
      <c r="N73" s="370"/>
      <c r="O73" s="370"/>
      <c r="P73" s="370"/>
      <c r="Q73" s="370"/>
      <c r="R73" s="370"/>
      <c r="S73" s="279"/>
      <c r="T73" s="362"/>
      <c r="U73" s="363"/>
      <c r="V73" s="363"/>
    </row>
    <row r="74" spans="1:44">
      <c r="A74" s="354">
        <v>19</v>
      </c>
      <c r="B74" s="355"/>
      <c r="C74" s="355"/>
      <c r="D74" s="356"/>
      <c r="E74" s="356"/>
      <c r="F74" s="356"/>
      <c r="G74" s="357"/>
      <c r="H74" s="357"/>
      <c r="I74" s="358"/>
      <c r="J74" s="359"/>
      <c r="K74" s="359"/>
      <c r="L74" s="359"/>
      <c r="M74" s="359"/>
      <c r="N74" s="359"/>
      <c r="O74" s="359"/>
      <c r="P74" s="359"/>
      <c r="Q74" s="359"/>
      <c r="R74" s="359"/>
      <c r="S74" s="361"/>
      <c r="T74" s="362"/>
      <c r="U74" s="363"/>
      <c r="V74" s="363"/>
    </row>
    <row r="75" spans="1:44">
      <c r="A75" s="354"/>
      <c r="B75" s="371"/>
      <c r="C75" s="371"/>
      <c r="D75" s="365"/>
      <c r="E75" s="365"/>
      <c r="F75" s="365"/>
      <c r="G75" s="366"/>
      <c r="H75" s="366"/>
      <c r="I75" s="358"/>
      <c r="J75" s="359"/>
      <c r="K75" s="359"/>
      <c r="L75" s="359"/>
      <c r="M75" s="359"/>
      <c r="N75" s="359"/>
      <c r="O75" s="359"/>
      <c r="P75" s="359"/>
      <c r="Q75" s="359"/>
      <c r="R75" s="359"/>
      <c r="S75" s="361"/>
      <c r="T75" s="362"/>
      <c r="U75" s="363"/>
      <c r="V75" s="363"/>
    </row>
    <row r="76" spans="1:44">
      <c r="A76" s="367"/>
      <c r="B76" s="277"/>
      <c r="C76" s="277"/>
      <c r="D76" s="368"/>
      <c r="E76" s="368"/>
      <c r="F76" s="368"/>
      <c r="G76" s="369"/>
      <c r="H76" s="369"/>
      <c r="I76" s="278"/>
      <c r="J76" s="370"/>
      <c r="K76" s="370"/>
      <c r="L76" s="370"/>
      <c r="M76" s="370"/>
      <c r="N76" s="370"/>
      <c r="O76" s="370"/>
      <c r="P76" s="370"/>
      <c r="Q76" s="370"/>
      <c r="R76" s="370"/>
      <c r="S76" s="279"/>
      <c r="T76" s="362"/>
      <c r="U76" s="363"/>
      <c r="V76" s="363"/>
    </row>
    <row r="77" spans="1:44">
      <c r="A77" s="354">
        <v>20</v>
      </c>
      <c r="B77" s="355"/>
      <c r="C77" s="355"/>
      <c r="D77" s="356"/>
      <c r="E77" s="356"/>
      <c r="F77" s="356"/>
      <c r="G77" s="357"/>
      <c r="H77" s="357"/>
      <c r="I77" s="358"/>
      <c r="J77" s="359"/>
      <c r="K77" s="359"/>
      <c r="L77" s="359"/>
      <c r="M77" s="359"/>
      <c r="N77" s="359"/>
      <c r="O77" s="359"/>
      <c r="P77" s="359"/>
      <c r="Q77" s="359"/>
      <c r="R77" s="359"/>
      <c r="S77" s="361"/>
      <c r="T77" s="362"/>
      <c r="U77" s="363"/>
      <c r="V77" s="363"/>
    </row>
    <row r="78" spans="1:44">
      <c r="A78" s="354"/>
      <c r="B78" s="371"/>
      <c r="C78" s="371"/>
      <c r="D78" s="365"/>
      <c r="E78" s="365"/>
      <c r="F78" s="365"/>
      <c r="G78" s="366"/>
      <c r="H78" s="366"/>
      <c r="I78" s="358"/>
      <c r="J78" s="359"/>
      <c r="K78" s="359"/>
      <c r="L78" s="359"/>
      <c r="M78" s="359"/>
      <c r="N78" s="359"/>
      <c r="O78" s="359"/>
      <c r="P78" s="359"/>
      <c r="Q78" s="359"/>
      <c r="R78" s="359"/>
      <c r="S78" s="361"/>
      <c r="T78" s="362"/>
      <c r="U78" s="363"/>
      <c r="V78" s="363"/>
    </row>
    <row r="79" spans="1:44">
      <c r="A79" s="367"/>
      <c r="B79" s="277"/>
      <c r="C79" s="277"/>
      <c r="D79" s="368"/>
      <c r="E79" s="368"/>
      <c r="F79" s="368"/>
      <c r="G79" s="369"/>
      <c r="H79" s="369"/>
      <c r="I79" s="278"/>
      <c r="J79" s="370"/>
      <c r="K79" s="370"/>
      <c r="L79" s="370"/>
      <c r="M79" s="370"/>
      <c r="N79" s="370"/>
      <c r="O79" s="370"/>
      <c r="P79" s="370"/>
      <c r="Q79" s="370"/>
      <c r="R79" s="370"/>
      <c r="S79" s="279"/>
      <c r="T79" s="362"/>
      <c r="U79" s="363"/>
      <c r="V79" s="363"/>
    </row>
    <row r="80" spans="1:44">
      <c r="A80" s="354">
        <v>21</v>
      </c>
      <c r="B80" s="355"/>
      <c r="C80" s="355"/>
      <c r="D80" s="356"/>
      <c r="E80" s="356"/>
      <c r="F80" s="356"/>
      <c r="G80" s="357"/>
      <c r="H80" s="357"/>
      <c r="I80" s="358"/>
      <c r="J80" s="359"/>
      <c r="K80" s="359"/>
      <c r="L80" s="359"/>
      <c r="M80" s="359"/>
      <c r="N80" s="359"/>
      <c r="O80" s="359"/>
      <c r="P80" s="359"/>
      <c r="Q80" s="359"/>
      <c r="R80" s="359"/>
      <c r="S80" s="361"/>
      <c r="T80" s="362"/>
      <c r="U80" s="363"/>
      <c r="V80" s="363"/>
    </row>
    <row r="81" spans="1:22">
      <c r="A81" s="354"/>
      <c r="B81" s="371"/>
      <c r="C81" s="371"/>
      <c r="D81" s="365"/>
      <c r="E81" s="365"/>
      <c r="F81" s="365"/>
      <c r="G81" s="366"/>
      <c r="H81" s="366"/>
      <c r="I81" s="358"/>
      <c r="J81" s="359"/>
      <c r="K81" s="359"/>
      <c r="L81" s="359"/>
      <c r="M81" s="359"/>
      <c r="N81" s="359"/>
      <c r="O81" s="359"/>
      <c r="P81" s="359"/>
      <c r="Q81" s="359"/>
      <c r="R81" s="359"/>
      <c r="S81" s="361"/>
      <c r="T81" s="362"/>
      <c r="U81" s="363"/>
      <c r="V81" s="363"/>
    </row>
    <row r="82" spans="1:22">
      <c r="A82" s="367"/>
      <c r="B82" s="277"/>
      <c r="C82" s="277"/>
      <c r="D82" s="368"/>
      <c r="E82" s="368"/>
      <c r="F82" s="368"/>
      <c r="G82" s="369"/>
      <c r="H82" s="369"/>
      <c r="I82" s="278"/>
      <c r="J82" s="370"/>
      <c r="K82" s="370"/>
      <c r="L82" s="370"/>
      <c r="M82" s="370"/>
      <c r="N82" s="370"/>
      <c r="O82" s="370"/>
      <c r="P82" s="370"/>
      <c r="Q82" s="370"/>
      <c r="R82" s="370"/>
      <c r="S82" s="279"/>
      <c r="T82" s="362"/>
      <c r="U82" s="363"/>
      <c r="V82" s="363"/>
    </row>
    <row r="83" spans="1:22">
      <c r="A83" s="354">
        <v>22</v>
      </c>
      <c r="B83" s="355"/>
      <c r="C83" s="355"/>
      <c r="D83" s="356"/>
      <c r="E83" s="356"/>
      <c r="F83" s="356"/>
      <c r="G83" s="357"/>
      <c r="H83" s="357"/>
      <c r="I83" s="358"/>
      <c r="J83" s="359"/>
      <c r="K83" s="359"/>
      <c r="L83" s="359"/>
      <c r="M83" s="359"/>
      <c r="N83" s="359"/>
      <c r="O83" s="359"/>
      <c r="P83" s="359"/>
      <c r="Q83" s="359"/>
      <c r="R83" s="359"/>
      <c r="S83" s="361"/>
      <c r="T83" s="362"/>
      <c r="U83" s="363"/>
      <c r="V83" s="363"/>
    </row>
    <row r="84" spans="1:22">
      <c r="A84" s="354"/>
      <c r="B84" s="371"/>
      <c r="C84" s="371"/>
      <c r="D84" s="365"/>
      <c r="E84" s="365"/>
      <c r="F84" s="365"/>
      <c r="G84" s="366"/>
      <c r="H84" s="366"/>
      <c r="I84" s="358"/>
      <c r="J84" s="359"/>
      <c r="K84" s="359"/>
      <c r="L84" s="359"/>
      <c r="M84" s="359"/>
      <c r="N84" s="359"/>
      <c r="O84" s="359"/>
      <c r="P84" s="359"/>
      <c r="Q84" s="359"/>
      <c r="R84" s="359"/>
      <c r="S84" s="361"/>
      <c r="T84" s="362"/>
      <c r="U84" s="363"/>
      <c r="V84" s="363"/>
    </row>
    <row r="85" spans="1:22">
      <c r="A85" s="367"/>
      <c r="B85" s="277"/>
      <c r="C85" s="277"/>
      <c r="D85" s="368"/>
      <c r="E85" s="368"/>
      <c r="F85" s="368"/>
      <c r="G85" s="369"/>
      <c r="H85" s="369"/>
      <c r="I85" s="278"/>
      <c r="J85" s="370"/>
      <c r="K85" s="370"/>
      <c r="L85" s="370"/>
      <c r="M85" s="370"/>
      <c r="N85" s="370"/>
      <c r="O85" s="370"/>
      <c r="P85" s="370"/>
      <c r="Q85" s="370"/>
      <c r="R85" s="370"/>
      <c r="S85" s="279"/>
      <c r="T85" s="362"/>
      <c r="U85" s="363"/>
      <c r="V85" s="363"/>
    </row>
    <row r="86" spans="1:22">
      <c r="A86" s="354">
        <v>23</v>
      </c>
      <c r="B86" s="355"/>
      <c r="C86" s="355"/>
      <c r="D86" s="356"/>
      <c r="E86" s="356"/>
      <c r="F86" s="356"/>
      <c r="G86" s="357"/>
      <c r="H86" s="357"/>
      <c r="I86" s="358"/>
      <c r="J86" s="359"/>
      <c r="K86" s="359"/>
      <c r="L86" s="359"/>
      <c r="M86" s="359"/>
      <c r="N86" s="359"/>
      <c r="O86" s="359"/>
      <c r="P86" s="359"/>
      <c r="Q86" s="359"/>
      <c r="R86" s="359"/>
      <c r="S86" s="361"/>
      <c r="T86" s="362"/>
      <c r="U86" s="363"/>
      <c r="V86" s="363"/>
    </row>
    <row r="87" spans="1:22">
      <c r="A87" s="354"/>
      <c r="B87" s="371"/>
      <c r="C87" s="371"/>
      <c r="D87" s="365"/>
      <c r="E87" s="365"/>
      <c r="F87" s="365"/>
      <c r="G87" s="366"/>
      <c r="H87" s="366"/>
      <c r="I87" s="358"/>
      <c r="J87" s="359"/>
      <c r="K87" s="359"/>
      <c r="L87" s="359"/>
      <c r="M87" s="359"/>
      <c r="N87" s="359"/>
      <c r="O87" s="359"/>
      <c r="P87" s="359"/>
      <c r="Q87" s="359"/>
      <c r="R87" s="359"/>
      <c r="S87" s="361"/>
      <c r="T87" s="362"/>
      <c r="U87" s="363"/>
      <c r="V87" s="363"/>
    </row>
    <row r="88" spans="1:22">
      <c r="A88" s="367"/>
      <c r="B88" s="277"/>
      <c r="C88" s="277"/>
      <c r="D88" s="368"/>
      <c r="E88" s="368"/>
      <c r="F88" s="368"/>
      <c r="G88" s="369"/>
      <c r="H88" s="369"/>
      <c r="I88" s="278"/>
      <c r="J88" s="370"/>
      <c r="K88" s="370"/>
      <c r="L88" s="370"/>
      <c r="M88" s="370"/>
      <c r="N88" s="370"/>
      <c r="O88" s="370"/>
      <c r="P88" s="370"/>
      <c r="Q88" s="370"/>
      <c r="R88" s="370"/>
      <c r="S88" s="279"/>
      <c r="T88" s="362"/>
      <c r="U88" s="363"/>
      <c r="V88" s="363"/>
    </row>
    <row r="89" spans="1:22">
      <c r="A89" s="354">
        <v>24</v>
      </c>
      <c r="B89" s="355"/>
      <c r="C89" s="355"/>
      <c r="D89" s="356"/>
      <c r="E89" s="356"/>
      <c r="F89" s="356"/>
      <c r="G89" s="357"/>
      <c r="H89" s="357"/>
      <c r="I89" s="358"/>
      <c r="J89" s="359"/>
      <c r="K89" s="359"/>
      <c r="L89" s="359"/>
      <c r="M89" s="359"/>
      <c r="N89" s="359"/>
      <c r="O89" s="359"/>
      <c r="P89" s="359"/>
      <c r="Q89" s="359"/>
      <c r="R89" s="359"/>
      <c r="S89" s="361"/>
      <c r="T89" s="362"/>
      <c r="U89" s="363"/>
      <c r="V89" s="363"/>
    </row>
    <row r="90" spans="1:22">
      <c r="A90" s="354"/>
      <c r="B90" s="371"/>
      <c r="C90" s="371"/>
      <c r="D90" s="365"/>
      <c r="E90" s="365"/>
      <c r="F90" s="365"/>
      <c r="G90" s="366"/>
      <c r="H90" s="366"/>
      <c r="I90" s="358"/>
      <c r="J90" s="359"/>
      <c r="K90" s="359"/>
      <c r="L90" s="359"/>
      <c r="M90" s="359"/>
      <c r="N90" s="359"/>
      <c r="O90" s="359"/>
      <c r="P90" s="359"/>
      <c r="Q90" s="359"/>
      <c r="R90" s="359"/>
      <c r="S90" s="361"/>
      <c r="T90" s="362"/>
      <c r="U90" s="363"/>
      <c r="V90" s="363"/>
    </row>
    <row r="91" spans="1:22">
      <c r="A91" s="367"/>
      <c r="B91" s="277"/>
      <c r="C91" s="277"/>
      <c r="D91" s="368"/>
      <c r="E91" s="368"/>
      <c r="F91" s="368"/>
      <c r="G91" s="369"/>
      <c r="H91" s="369"/>
      <c r="I91" s="278"/>
      <c r="J91" s="370"/>
      <c r="K91" s="370"/>
      <c r="L91" s="370"/>
      <c r="M91" s="370"/>
      <c r="N91" s="370"/>
      <c r="O91" s="370"/>
      <c r="P91" s="370"/>
      <c r="Q91" s="370"/>
      <c r="R91" s="370"/>
      <c r="S91" s="279"/>
      <c r="T91" s="362"/>
      <c r="U91" s="363"/>
      <c r="V91" s="363"/>
    </row>
    <row r="92" spans="1:22">
      <c r="A92" s="354">
        <v>25</v>
      </c>
      <c r="B92" s="355"/>
      <c r="C92" s="355"/>
      <c r="D92" s="356"/>
      <c r="E92" s="356"/>
      <c r="F92" s="356"/>
      <c r="G92" s="357"/>
      <c r="H92" s="357"/>
      <c r="I92" s="358"/>
      <c r="J92" s="359"/>
      <c r="K92" s="359"/>
      <c r="L92" s="359"/>
      <c r="M92" s="359"/>
      <c r="N92" s="359"/>
      <c r="O92" s="359"/>
      <c r="P92" s="359"/>
      <c r="Q92" s="359"/>
      <c r="R92" s="359"/>
      <c r="S92" s="361"/>
      <c r="T92" s="362"/>
      <c r="U92" s="363"/>
      <c r="V92" s="363"/>
    </row>
    <row r="93" spans="1:22">
      <c r="A93" s="354"/>
      <c r="B93" s="371"/>
      <c r="C93" s="371"/>
      <c r="D93" s="365"/>
      <c r="E93" s="365"/>
      <c r="F93" s="365"/>
      <c r="G93" s="366"/>
      <c r="H93" s="366"/>
      <c r="I93" s="358"/>
      <c r="J93" s="359"/>
      <c r="K93" s="359"/>
      <c r="L93" s="359"/>
      <c r="M93" s="359"/>
      <c r="N93" s="359"/>
      <c r="O93" s="359"/>
      <c r="P93" s="359"/>
      <c r="Q93" s="359"/>
      <c r="R93" s="359"/>
      <c r="S93" s="361"/>
      <c r="T93" s="362"/>
      <c r="U93" s="363"/>
      <c r="V93" s="363"/>
    </row>
    <row r="94" spans="1:22">
      <c r="A94" s="367"/>
      <c r="B94" s="277"/>
      <c r="C94" s="277"/>
      <c r="D94" s="368"/>
      <c r="E94" s="368"/>
      <c r="F94" s="368"/>
      <c r="G94" s="369"/>
      <c r="H94" s="369"/>
      <c r="I94" s="278"/>
      <c r="J94" s="370"/>
      <c r="K94" s="370"/>
      <c r="L94" s="370"/>
      <c r="M94" s="370"/>
      <c r="N94" s="370"/>
      <c r="O94" s="370"/>
      <c r="P94" s="370"/>
      <c r="Q94" s="370"/>
      <c r="R94" s="370"/>
      <c r="S94" s="279"/>
      <c r="T94" s="362"/>
      <c r="U94" s="363"/>
      <c r="V94" s="363"/>
    </row>
    <row r="95" spans="1:22">
      <c r="A95" s="354">
        <v>26</v>
      </c>
      <c r="B95" s="355"/>
      <c r="C95" s="355"/>
      <c r="D95" s="356"/>
      <c r="E95" s="356"/>
      <c r="F95" s="356"/>
      <c r="G95" s="357"/>
      <c r="H95" s="357"/>
      <c r="I95" s="358"/>
      <c r="J95" s="359"/>
      <c r="K95" s="359"/>
      <c r="L95" s="359"/>
      <c r="M95" s="359"/>
      <c r="N95" s="359"/>
      <c r="O95" s="359"/>
      <c r="P95" s="359"/>
      <c r="Q95" s="359"/>
      <c r="R95" s="359"/>
      <c r="S95" s="361"/>
      <c r="T95" s="362"/>
      <c r="U95" s="363"/>
      <c r="V95" s="363"/>
    </row>
    <row r="96" spans="1:22">
      <c r="A96" s="354"/>
      <c r="B96" s="371"/>
      <c r="C96" s="371"/>
      <c r="D96" s="365"/>
      <c r="E96" s="365"/>
      <c r="F96" s="365"/>
      <c r="G96" s="366"/>
      <c r="H96" s="366"/>
      <c r="I96" s="358"/>
      <c r="J96" s="359"/>
      <c r="K96" s="359"/>
      <c r="L96" s="359"/>
      <c r="M96" s="359"/>
      <c r="N96" s="359"/>
      <c r="O96" s="359"/>
      <c r="P96" s="359"/>
      <c r="Q96" s="359"/>
      <c r="R96" s="359"/>
      <c r="S96" s="361"/>
      <c r="T96" s="362"/>
      <c r="U96" s="363"/>
      <c r="V96" s="363"/>
    </row>
    <row r="97" spans="1:22">
      <c r="A97" s="367"/>
      <c r="B97" s="277"/>
      <c r="C97" s="277"/>
      <c r="D97" s="368"/>
      <c r="E97" s="368"/>
      <c r="F97" s="368"/>
      <c r="G97" s="369"/>
      <c r="H97" s="369"/>
      <c r="I97" s="278"/>
      <c r="J97" s="370"/>
      <c r="K97" s="370"/>
      <c r="L97" s="370"/>
      <c r="M97" s="370"/>
      <c r="N97" s="370"/>
      <c r="O97" s="370"/>
      <c r="P97" s="370"/>
      <c r="Q97" s="370"/>
      <c r="R97" s="370"/>
      <c r="S97" s="279"/>
      <c r="T97" s="362"/>
      <c r="U97" s="363"/>
      <c r="V97" s="363"/>
    </row>
    <row r="98" spans="1:22">
      <c r="A98" s="354">
        <v>27</v>
      </c>
      <c r="B98" s="355"/>
      <c r="C98" s="355"/>
      <c r="D98" s="356"/>
      <c r="E98" s="356"/>
      <c r="F98" s="356"/>
      <c r="G98" s="357"/>
      <c r="H98" s="357"/>
      <c r="I98" s="358"/>
      <c r="J98" s="359"/>
      <c r="K98" s="359"/>
      <c r="L98" s="359"/>
      <c r="M98" s="359"/>
      <c r="N98" s="359"/>
      <c r="O98" s="359"/>
      <c r="P98" s="359"/>
      <c r="Q98" s="359"/>
      <c r="R98" s="359"/>
      <c r="S98" s="361"/>
      <c r="T98" s="362"/>
      <c r="U98" s="363"/>
      <c r="V98" s="363"/>
    </row>
    <row r="99" spans="1:22">
      <c r="A99" s="354"/>
      <c r="B99" s="371"/>
      <c r="C99" s="371"/>
      <c r="D99" s="365"/>
      <c r="E99" s="365"/>
      <c r="F99" s="365"/>
      <c r="G99" s="366"/>
      <c r="H99" s="366"/>
      <c r="I99" s="358"/>
      <c r="J99" s="359"/>
      <c r="K99" s="359"/>
      <c r="L99" s="359"/>
      <c r="M99" s="359"/>
      <c r="N99" s="359"/>
      <c r="O99" s="359"/>
      <c r="P99" s="359"/>
      <c r="Q99" s="359"/>
      <c r="R99" s="359"/>
      <c r="S99" s="361"/>
      <c r="T99" s="362"/>
      <c r="U99" s="363"/>
      <c r="V99" s="363"/>
    </row>
    <row r="100" spans="1:22">
      <c r="A100" s="367"/>
      <c r="B100" s="277"/>
      <c r="C100" s="277"/>
      <c r="D100" s="368"/>
      <c r="E100" s="368"/>
      <c r="F100" s="368"/>
      <c r="G100" s="369"/>
      <c r="H100" s="369"/>
      <c r="I100" s="278"/>
      <c r="J100" s="370"/>
      <c r="K100" s="370"/>
      <c r="L100" s="370"/>
      <c r="M100" s="370"/>
      <c r="N100" s="370"/>
      <c r="O100" s="370"/>
      <c r="P100" s="370"/>
      <c r="Q100" s="370"/>
      <c r="R100" s="370"/>
      <c r="S100" s="279"/>
      <c r="T100" s="362"/>
      <c r="U100" s="363"/>
      <c r="V100" s="363"/>
    </row>
    <row r="101" spans="1:22">
      <c r="A101" s="354">
        <v>28</v>
      </c>
      <c r="B101" s="355"/>
      <c r="C101" s="355"/>
      <c r="D101" s="356"/>
      <c r="E101" s="356"/>
      <c r="F101" s="356"/>
      <c r="G101" s="357"/>
      <c r="H101" s="357"/>
      <c r="I101" s="358"/>
      <c r="J101" s="359"/>
      <c r="K101" s="359"/>
      <c r="L101" s="359"/>
      <c r="M101" s="359"/>
      <c r="N101" s="359"/>
      <c r="O101" s="359"/>
      <c r="P101" s="359"/>
      <c r="Q101" s="359"/>
      <c r="R101" s="359"/>
      <c r="S101" s="361"/>
      <c r="T101" s="362"/>
      <c r="U101" s="363"/>
      <c r="V101" s="363"/>
    </row>
    <row r="102" spans="1:22">
      <c r="A102" s="354"/>
      <c r="B102" s="371"/>
      <c r="C102" s="371"/>
      <c r="D102" s="365"/>
      <c r="E102" s="365"/>
      <c r="F102" s="365"/>
      <c r="G102" s="366"/>
      <c r="H102" s="366"/>
      <c r="I102" s="358"/>
      <c r="J102" s="359"/>
      <c r="K102" s="359"/>
      <c r="L102" s="359"/>
      <c r="M102" s="359"/>
      <c r="N102" s="359"/>
      <c r="O102" s="359"/>
      <c r="P102" s="359"/>
      <c r="Q102" s="359"/>
      <c r="R102" s="359"/>
      <c r="S102" s="361"/>
      <c r="T102" s="362"/>
      <c r="U102" s="363"/>
      <c r="V102" s="363"/>
    </row>
    <row r="103" spans="1:22">
      <c r="A103" s="367"/>
      <c r="B103" s="277"/>
      <c r="C103" s="277"/>
      <c r="D103" s="368"/>
      <c r="E103" s="368"/>
      <c r="F103" s="368"/>
      <c r="G103" s="369"/>
      <c r="H103" s="369"/>
      <c r="I103" s="278"/>
      <c r="J103" s="370"/>
      <c r="K103" s="370"/>
      <c r="L103" s="370"/>
      <c r="M103" s="370"/>
      <c r="N103" s="370"/>
      <c r="O103" s="370"/>
      <c r="P103" s="370"/>
      <c r="Q103" s="370"/>
      <c r="R103" s="370"/>
      <c r="S103" s="279"/>
      <c r="T103" s="362"/>
      <c r="U103" s="363"/>
      <c r="V103" s="363"/>
    </row>
    <row r="104" spans="1:22">
      <c r="A104" s="354">
        <v>29</v>
      </c>
      <c r="B104" s="355"/>
      <c r="C104" s="355"/>
      <c r="D104" s="356"/>
      <c r="E104" s="356"/>
      <c r="F104" s="356"/>
      <c r="G104" s="357"/>
      <c r="H104" s="357"/>
      <c r="I104" s="358"/>
      <c r="J104" s="359"/>
      <c r="K104" s="359"/>
      <c r="L104" s="359"/>
      <c r="M104" s="359"/>
      <c r="N104" s="359"/>
      <c r="O104" s="359"/>
      <c r="P104" s="359"/>
      <c r="Q104" s="359"/>
      <c r="R104" s="359"/>
      <c r="S104" s="361"/>
      <c r="T104" s="362"/>
      <c r="U104" s="363"/>
      <c r="V104" s="363"/>
    </row>
    <row r="105" spans="1:22">
      <c r="A105" s="354"/>
      <c r="B105" s="371"/>
      <c r="C105" s="371"/>
      <c r="D105" s="365"/>
      <c r="E105" s="365"/>
      <c r="F105" s="365"/>
      <c r="G105" s="366"/>
      <c r="H105" s="366"/>
      <c r="I105" s="358"/>
      <c r="J105" s="359"/>
      <c r="K105" s="359"/>
      <c r="L105" s="359"/>
      <c r="M105" s="359"/>
      <c r="N105" s="359"/>
      <c r="O105" s="359"/>
      <c r="P105" s="359"/>
      <c r="Q105" s="359"/>
      <c r="R105" s="359"/>
      <c r="S105" s="361"/>
      <c r="T105" s="362"/>
      <c r="U105" s="363"/>
      <c r="V105" s="363"/>
    </row>
    <row r="106" spans="1:22">
      <c r="A106" s="367"/>
      <c r="B106" s="277"/>
      <c r="C106" s="277"/>
      <c r="D106" s="368"/>
      <c r="E106" s="368"/>
      <c r="F106" s="368"/>
      <c r="G106" s="369"/>
      <c r="H106" s="369"/>
      <c r="I106" s="278"/>
      <c r="J106" s="370"/>
      <c r="K106" s="370"/>
      <c r="L106" s="370"/>
      <c r="M106" s="370"/>
      <c r="N106" s="370"/>
      <c r="O106" s="370"/>
      <c r="P106" s="370"/>
      <c r="Q106" s="370"/>
      <c r="R106" s="370"/>
      <c r="S106" s="279"/>
      <c r="T106" s="362"/>
      <c r="U106" s="363"/>
      <c r="V106" s="363"/>
    </row>
    <row r="107" spans="1:22">
      <c r="A107" s="354">
        <v>30</v>
      </c>
      <c r="B107" s="355"/>
      <c r="C107" s="355"/>
      <c r="D107" s="356"/>
      <c r="E107" s="356"/>
      <c r="F107" s="356"/>
      <c r="G107" s="357"/>
      <c r="H107" s="357"/>
      <c r="I107" s="358"/>
      <c r="J107" s="359"/>
      <c r="K107" s="359"/>
      <c r="L107" s="359"/>
      <c r="M107" s="359"/>
      <c r="N107" s="359"/>
      <c r="O107" s="359"/>
      <c r="P107" s="359"/>
      <c r="Q107" s="359"/>
      <c r="R107" s="359"/>
      <c r="S107" s="361"/>
      <c r="T107" s="362"/>
      <c r="U107" s="363"/>
      <c r="V107" s="363"/>
    </row>
    <row r="108" spans="1:22">
      <c r="A108" s="354"/>
      <c r="B108" s="371"/>
      <c r="C108" s="371"/>
      <c r="D108" s="365"/>
      <c r="E108" s="365"/>
      <c r="F108" s="365"/>
      <c r="G108" s="366"/>
      <c r="H108" s="366"/>
      <c r="I108" s="358"/>
      <c r="J108" s="359"/>
      <c r="K108" s="359"/>
      <c r="L108" s="359"/>
      <c r="M108" s="359"/>
      <c r="N108" s="359"/>
      <c r="O108" s="359"/>
      <c r="P108" s="359"/>
      <c r="Q108" s="359"/>
      <c r="R108" s="359"/>
      <c r="S108" s="361"/>
      <c r="T108" s="362"/>
      <c r="U108" s="363"/>
      <c r="V108" s="363"/>
    </row>
    <row r="109" spans="1:22">
      <c r="A109" s="367"/>
      <c r="B109" s="277"/>
      <c r="C109" s="277"/>
      <c r="D109" s="368"/>
      <c r="E109" s="368"/>
      <c r="F109" s="368"/>
      <c r="G109" s="369"/>
      <c r="H109" s="369"/>
      <c r="I109" s="278"/>
      <c r="J109" s="370"/>
      <c r="K109" s="370"/>
      <c r="L109" s="370"/>
      <c r="M109" s="370"/>
      <c r="N109" s="370"/>
      <c r="O109" s="370"/>
      <c r="P109" s="370"/>
      <c r="Q109" s="370"/>
      <c r="R109" s="370"/>
      <c r="S109" s="279"/>
      <c r="T109" s="362"/>
      <c r="U109" s="363"/>
      <c r="V109" s="363"/>
    </row>
    <row r="110" spans="1:22">
      <c r="A110" s="354">
        <v>31</v>
      </c>
      <c r="B110" s="355"/>
      <c r="C110" s="355"/>
      <c r="D110" s="356"/>
      <c r="E110" s="356"/>
      <c r="F110" s="356"/>
      <c r="G110" s="357"/>
      <c r="H110" s="357"/>
      <c r="I110" s="358"/>
      <c r="J110" s="359"/>
      <c r="K110" s="359"/>
      <c r="L110" s="359"/>
      <c r="M110" s="359"/>
      <c r="N110" s="359"/>
      <c r="O110" s="359"/>
      <c r="P110" s="359"/>
      <c r="Q110" s="359"/>
      <c r="R110" s="359"/>
      <c r="S110" s="361"/>
      <c r="T110" s="362"/>
      <c r="U110" s="363"/>
      <c r="V110" s="363"/>
    </row>
    <row r="111" spans="1:22">
      <c r="A111" s="354"/>
      <c r="B111" s="371"/>
      <c r="C111" s="371"/>
      <c r="D111" s="365"/>
      <c r="E111" s="365"/>
      <c r="F111" s="365"/>
      <c r="G111" s="366"/>
      <c r="H111" s="366"/>
      <c r="I111" s="358"/>
      <c r="J111" s="359"/>
      <c r="K111" s="359"/>
      <c r="L111" s="359"/>
      <c r="M111" s="359"/>
      <c r="N111" s="359"/>
      <c r="O111" s="359"/>
      <c r="P111" s="359"/>
      <c r="Q111" s="359"/>
      <c r="R111" s="359"/>
      <c r="S111" s="361"/>
      <c r="T111" s="362"/>
      <c r="U111" s="363"/>
      <c r="V111" s="363"/>
    </row>
    <row r="112" spans="1:22">
      <c r="A112" s="367"/>
      <c r="B112" s="277"/>
      <c r="C112" s="277"/>
      <c r="D112" s="368"/>
      <c r="E112" s="368"/>
      <c r="F112" s="368"/>
      <c r="G112" s="369"/>
      <c r="H112" s="369"/>
      <c r="I112" s="278"/>
      <c r="J112" s="370"/>
      <c r="K112" s="370"/>
      <c r="L112" s="370"/>
      <c r="M112" s="370"/>
      <c r="N112" s="370"/>
      <c r="O112" s="370"/>
      <c r="P112" s="370"/>
      <c r="Q112" s="370"/>
      <c r="R112" s="370"/>
      <c r="S112" s="279"/>
      <c r="T112" s="362"/>
      <c r="U112" s="363"/>
      <c r="V112" s="363"/>
    </row>
    <row r="113" spans="1:22">
      <c r="A113" s="354">
        <v>32</v>
      </c>
      <c r="B113" s="355"/>
      <c r="C113" s="355"/>
      <c r="D113" s="356"/>
      <c r="E113" s="356"/>
      <c r="F113" s="356"/>
      <c r="G113" s="357"/>
      <c r="H113" s="357"/>
      <c r="I113" s="358"/>
      <c r="J113" s="359"/>
      <c r="K113" s="359"/>
      <c r="L113" s="359"/>
      <c r="M113" s="359"/>
      <c r="N113" s="359"/>
      <c r="O113" s="359"/>
      <c r="P113" s="359"/>
      <c r="Q113" s="359"/>
      <c r="R113" s="359"/>
      <c r="S113" s="361"/>
      <c r="T113" s="362"/>
      <c r="U113" s="363"/>
      <c r="V113" s="363"/>
    </row>
    <row r="114" spans="1:22">
      <c r="A114" s="354"/>
      <c r="B114" s="371"/>
      <c r="C114" s="371"/>
      <c r="D114" s="365"/>
      <c r="E114" s="365"/>
      <c r="F114" s="365"/>
      <c r="G114" s="366"/>
      <c r="H114" s="366"/>
      <c r="I114" s="358"/>
      <c r="J114" s="359"/>
      <c r="K114" s="359"/>
      <c r="L114" s="359"/>
      <c r="M114" s="359"/>
      <c r="N114" s="359"/>
      <c r="O114" s="359"/>
      <c r="P114" s="359"/>
      <c r="Q114" s="359"/>
      <c r="R114" s="359"/>
      <c r="S114" s="361"/>
      <c r="T114" s="362"/>
      <c r="U114" s="363"/>
      <c r="V114" s="363"/>
    </row>
    <row r="115" spans="1:22">
      <c r="A115" s="367"/>
      <c r="B115" s="277"/>
      <c r="C115" s="277"/>
      <c r="D115" s="368"/>
      <c r="E115" s="368"/>
      <c r="F115" s="368"/>
      <c r="G115" s="369"/>
      <c r="H115" s="369"/>
      <c r="I115" s="278"/>
      <c r="J115" s="370"/>
      <c r="K115" s="370"/>
      <c r="L115" s="370"/>
      <c r="M115" s="370"/>
      <c r="N115" s="370"/>
      <c r="O115" s="370"/>
      <c r="P115" s="370"/>
      <c r="Q115" s="370"/>
      <c r="R115" s="370"/>
      <c r="S115" s="279"/>
      <c r="T115" s="362"/>
      <c r="U115" s="363"/>
      <c r="V115" s="363"/>
    </row>
    <row r="116" spans="1:22">
      <c r="A116" s="354">
        <v>33</v>
      </c>
      <c r="B116" s="355"/>
      <c r="C116" s="355"/>
      <c r="D116" s="356"/>
      <c r="E116" s="356"/>
      <c r="F116" s="356"/>
      <c r="G116" s="357"/>
      <c r="H116" s="357"/>
      <c r="I116" s="358"/>
      <c r="J116" s="359"/>
      <c r="K116" s="359"/>
      <c r="L116" s="359"/>
      <c r="M116" s="359"/>
      <c r="N116" s="359"/>
      <c r="O116" s="359"/>
      <c r="P116" s="359"/>
      <c r="Q116" s="359"/>
      <c r="R116" s="359"/>
      <c r="S116" s="361"/>
      <c r="T116" s="362"/>
      <c r="U116" s="363"/>
      <c r="V116" s="363"/>
    </row>
    <row r="117" spans="1:22">
      <c r="A117" s="354"/>
      <c r="B117" s="371"/>
      <c r="C117" s="371"/>
      <c r="D117" s="365"/>
      <c r="E117" s="365"/>
      <c r="F117" s="365"/>
      <c r="G117" s="366"/>
      <c r="H117" s="366"/>
      <c r="I117" s="358"/>
      <c r="J117" s="359"/>
      <c r="K117" s="359"/>
      <c r="L117" s="359"/>
      <c r="M117" s="359"/>
      <c r="N117" s="359"/>
      <c r="O117" s="359"/>
      <c r="P117" s="359"/>
      <c r="Q117" s="359"/>
      <c r="R117" s="359"/>
      <c r="S117" s="361"/>
      <c r="T117" s="362"/>
      <c r="U117" s="363"/>
      <c r="V117" s="363"/>
    </row>
    <row r="118" spans="1:22">
      <c r="A118" s="367"/>
      <c r="B118" s="277"/>
      <c r="C118" s="277"/>
      <c r="D118" s="368"/>
      <c r="E118" s="368"/>
      <c r="F118" s="368"/>
      <c r="G118" s="369"/>
      <c r="H118" s="369"/>
      <c r="I118" s="278"/>
      <c r="J118" s="370"/>
      <c r="K118" s="370"/>
      <c r="L118" s="370"/>
      <c r="M118" s="370"/>
      <c r="N118" s="370"/>
      <c r="O118" s="370"/>
      <c r="P118" s="370"/>
      <c r="Q118" s="370"/>
      <c r="R118" s="370"/>
      <c r="S118" s="279"/>
      <c r="T118" s="362"/>
      <c r="U118" s="363"/>
      <c r="V118" s="363"/>
    </row>
    <row r="119" spans="1:22">
      <c r="A119" s="354">
        <v>34</v>
      </c>
      <c r="B119" s="355"/>
      <c r="C119" s="355"/>
      <c r="D119" s="356"/>
      <c r="E119" s="356"/>
      <c r="F119" s="356"/>
      <c r="G119" s="357"/>
      <c r="H119" s="357"/>
      <c r="I119" s="358"/>
      <c r="J119" s="359"/>
      <c r="K119" s="359"/>
      <c r="L119" s="359"/>
      <c r="M119" s="359"/>
      <c r="N119" s="359"/>
      <c r="O119" s="359"/>
      <c r="P119" s="359"/>
      <c r="Q119" s="359"/>
      <c r="R119" s="359"/>
      <c r="S119" s="361"/>
      <c r="T119" s="362"/>
      <c r="U119" s="363"/>
      <c r="V119" s="363"/>
    </row>
    <row r="120" spans="1:22">
      <c r="A120" s="354"/>
      <c r="B120" s="371"/>
      <c r="C120" s="371"/>
      <c r="D120" s="365"/>
      <c r="E120" s="365"/>
      <c r="F120" s="365"/>
      <c r="G120" s="366"/>
      <c r="H120" s="366"/>
      <c r="I120" s="358"/>
      <c r="J120" s="359"/>
      <c r="K120" s="359"/>
      <c r="L120" s="359"/>
      <c r="M120" s="359"/>
      <c r="N120" s="359"/>
      <c r="O120" s="359"/>
      <c r="P120" s="359"/>
      <c r="Q120" s="359"/>
      <c r="R120" s="359"/>
      <c r="S120" s="361"/>
      <c r="T120" s="362"/>
      <c r="U120" s="363"/>
      <c r="V120" s="363"/>
    </row>
    <row r="121" spans="1:22">
      <c r="A121" s="367"/>
      <c r="B121" s="277"/>
      <c r="C121" s="277"/>
      <c r="D121" s="368"/>
      <c r="E121" s="368"/>
      <c r="F121" s="368"/>
      <c r="G121" s="369"/>
      <c r="H121" s="369"/>
      <c r="I121" s="278"/>
      <c r="J121" s="370"/>
      <c r="K121" s="370"/>
      <c r="L121" s="370"/>
      <c r="M121" s="370"/>
      <c r="N121" s="370"/>
      <c r="O121" s="370"/>
      <c r="P121" s="370"/>
      <c r="Q121" s="370"/>
      <c r="R121" s="370"/>
      <c r="S121" s="279"/>
      <c r="T121" s="362"/>
      <c r="U121" s="363"/>
      <c r="V121" s="363"/>
    </row>
    <row r="122" spans="1:22">
      <c r="A122" s="354">
        <v>35</v>
      </c>
      <c r="B122" s="355"/>
      <c r="C122" s="355"/>
      <c r="D122" s="356"/>
      <c r="E122" s="356"/>
      <c r="F122" s="356"/>
      <c r="G122" s="357"/>
      <c r="H122" s="357"/>
      <c r="I122" s="358"/>
      <c r="J122" s="359"/>
      <c r="K122" s="359"/>
      <c r="L122" s="359"/>
      <c r="M122" s="359"/>
      <c r="N122" s="359"/>
      <c r="O122" s="359"/>
      <c r="P122" s="359"/>
      <c r="Q122" s="359"/>
      <c r="R122" s="359"/>
      <c r="S122" s="361"/>
      <c r="T122" s="362"/>
      <c r="U122" s="363"/>
      <c r="V122" s="363"/>
    </row>
    <row r="123" spans="1:22">
      <c r="A123" s="354"/>
      <c r="B123" s="371"/>
      <c r="C123" s="371"/>
      <c r="D123" s="365"/>
      <c r="E123" s="365"/>
      <c r="F123" s="365"/>
      <c r="G123" s="366"/>
      <c r="H123" s="366"/>
      <c r="I123" s="358"/>
      <c r="J123" s="359"/>
      <c r="K123" s="359"/>
      <c r="L123" s="359"/>
      <c r="M123" s="359"/>
      <c r="N123" s="359"/>
      <c r="O123" s="359"/>
      <c r="P123" s="359"/>
      <c r="Q123" s="359"/>
      <c r="R123" s="359"/>
      <c r="S123" s="361"/>
      <c r="T123" s="362"/>
      <c r="U123" s="363"/>
      <c r="V123" s="363"/>
    </row>
    <row r="124" spans="1:22">
      <c r="A124" s="367"/>
      <c r="B124" s="277"/>
      <c r="C124" s="277"/>
      <c r="D124" s="368"/>
      <c r="E124" s="368"/>
      <c r="F124" s="368"/>
      <c r="G124" s="369"/>
      <c r="H124" s="369"/>
      <c r="I124" s="278"/>
      <c r="J124" s="370"/>
      <c r="K124" s="370"/>
      <c r="L124" s="370"/>
      <c r="M124" s="370"/>
      <c r="N124" s="370"/>
      <c r="O124" s="370"/>
      <c r="P124" s="370"/>
      <c r="Q124" s="370"/>
      <c r="R124" s="370"/>
      <c r="S124" s="279"/>
      <c r="T124" s="362"/>
      <c r="U124" s="363"/>
      <c r="V124" s="363"/>
    </row>
    <row r="125" spans="1:22">
      <c r="A125" s="354">
        <v>36</v>
      </c>
      <c r="B125" s="355"/>
      <c r="C125" s="355"/>
      <c r="D125" s="356"/>
      <c r="E125" s="356"/>
      <c r="F125" s="356"/>
      <c r="G125" s="357"/>
      <c r="H125" s="357"/>
      <c r="I125" s="358"/>
      <c r="J125" s="359"/>
      <c r="K125" s="359"/>
      <c r="L125" s="359"/>
      <c r="M125" s="359"/>
      <c r="N125" s="359"/>
      <c r="O125" s="359"/>
      <c r="P125" s="359"/>
      <c r="Q125" s="359"/>
      <c r="R125" s="359"/>
      <c r="S125" s="361"/>
      <c r="T125" s="362"/>
      <c r="U125" s="363"/>
      <c r="V125" s="363"/>
    </row>
    <row r="126" spans="1:22">
      <c r="A126" s="354"/>
      <c r="B126" s="371"/>
      <c r="C126" s="371"/>
      <c r="D126" s="365"/>
      <c r="E126" s="365"/>
      <c r="F126" s="365"/>
      <c r="G126" s="366"/>
      <c r="H126" s="366"/>
      <c r="I126" s="358"/>
      <c r="J126" s="359"/>
      <c r="K126" s="359"/>
      <c r="L126" s="359"/>
      <c r="M126" s="359"/>
      <c r="N126" s="359"/>
      <c r="O126" s="359"/>
      <c r="P126" s="359"/>
      <c r="Q126" s="359"/>
      <c r="R126" s="359"/>
      <c r="S126" s="361"/>
      <c r="T126" s="362"/>
      <c r="U126" s="363"/>
      <c r="V126" s="363"/>
    </row>
    <row r="127" spans="1:22">
      <c r="A127" s="367"/>
      <c r="B127" s="277"/>
      <c r="C127" s="277"/>
      <c r="D127" s="368"/>
      <c r="E127" s="368"/>
      <c r="F127" s="368"/>
      <c r="G127" s="369"/>
      <c r="H127" s="369"/>
      <c r="I127" s="278"/>
      <c r="J127" s="370"/>
      <c r="K127" s="370"/>
      <c r="L127" s="370"/>
      <c r="M127" s="370"/>
      <c r="N127" s="370"/>
      <c r="O127" s="370"/>
      <c r="P127" s="370"/>
      <c r="Q127" s="370"/>
      <c r="R127" s="370"/>
      <c r="S127" s="279"/>
      <c r="T127" s="362"/>
      <c r="U127" s="363"/>
      <c r="V127" s="363"/>
    </row>
    <row r="128" spans="1:22">
      <c r="A128" s="354">
        <v>37</v>
      </c>
      <c r="B128" s="355"/>
      <c r="C128" s="355"/>
      <c r="D128" s="356"/>
      <c r="E128" s="356"/>
      <c r="F128" s="356"/>
      <c r="G128" s="357"/>
      <c r="H128" s="357"/>
      <c r="I128" s="358"/>
      <c r="J128" s="359"/>
      <c r="K128" s="359"/>
      <c r="L128" s="359"/>
      <c r="M128" s="359"/>
      <c r="N128" s="359"/>
      <c r="O128" s="359"/>
      <c r="P128" s="359"/>
      <c r="Q128" s="359"/>
      <c r="R128" s="359"/>
      <c r="S128" s="361"/>
      <c r="T128" s="362"/>
      <c r="U128" s="363"/>
      <c r="V128" s="363"/>
    </row>
    <row r="129" spans="1:22">
      <c r="A129" s="354"/>
      <c r="B129" s="371"/>
      <c r="C129" s="371"/>
      <c r="D129" s="365"/>
      <c r="E129" s="365"/>
      <c r="F129" s="365"/>
      <c r="G129" s="366"/>
      <c r="H129" s="366"/>
      <c r="I129" s="358"/>
      <c r="J129" s="359"/>
      <c r="K129" s="359"/>
      <c r="L129" s="359"/>
      <c r="M129" s="359"/>
      <c r="N129" s="359"/>
      <c r="O129" s="359"/>
      <c r="P129" s="359"/>
      <c r="Q129" s="359"/>
      <c r="R129" s="359"/>
      <c r="S129" s="361"/>
      <c r="T129" s="362"/>
      <c r="U129" s="363"/>
      <c r="V129" s="363"/>
    </row>
    <row r="130" spans="1:22">
      <c r="A130" s="367"/>
      <c r="B130" s="277"/>
      <c r="C130" s="277"/>
      <c r="D130" s="368"/>
      <c r="E130" s="368"/>
      <c r="F130" s="368"/>
      <c r="G130" s="369"/>
      <c r="H130" s="369"/>
      <c r="I130" s="278"/>
      <c r="J130" s="370"/>
      <c r="K130" s="370"/>
      <c r="L130" s="370"/>
      <c r="M130" s="370"/>
      <c r="N130" s="370"/>
      <c r="O130" s="370"/>
      <c r="P130" s="370"/>
      <c r="Q130" s="370"/>
      <c r="R130" s="370"/>
      <c r="S130" s="279"/>
      <c r="T130" s="362"/>
      <c r="U130" s="363"/>
      <c r="V130" s="363"/>
    </row>
    <row r="131" spans="1:22">
      <c r="A131" s="354">
        <v>38</v>
      </c>
      <c r="B131" s="355"/>
      <c r="C131" s="355"/>
      <c r="D131" s="356"/>
      <c r="E131" s="356"/>
      <c r="F131" s="356"/>
      <c r="G131" s="357"/>
      <c r="H131" s="357"/>
      <c r="I131" s="358"/>
      <c r="J131" s="359"/>
      <c r="K131" s="359"/>
      <c r="L131" s="359"/>
      <c r="M131" s="359"/>
      <c r="N131" s="359"/>
      <c r="O131" s="359"/>
      <c r="P131" s="359"/>
      <c r="Q131" s="359"/>
      <c r="R131" s="359"/>
      <c r="S131" s="361"/>
      <c r="T131" s="362"/>
      <c r="U131" s="363"/>
      <c r="V131" s="363"/>
    </row>
    <row r="132" spans="1:22">
      <c r="A132" s="354"/>
      <c r="B132" s="371"/>
      <c r="C132" s="371"/>
      <c r="D132" s="365"/>
      <c r="E132" s="365"/>
      <c r="F132" s="365"/>
      <c r="G132" s="366"/>
      <c r="H132" s="366"/>
      <c r="I132" s="358"/>
      <c r="J132" s="359"/>
      <c r="K132" s="359"/>
      <c r="L132" s="359"/>
      <c r="M132" s="359"/>
      <c r="N132" s="359"/>
      <c r="O132" s="359"/>
      <c r="P132" s="359"/>
      <c r="Q132" s="359"/>
      <c r="R132" s="359"/>
      <c r="S132" s="361"/>
      <c r="T132" s="362"/>
      <c r="U132" s="363"/>
      <c r="V132" s="363"/>
    </row>
    <row r="133" spans="1:22">
      <c r="A133" s="367"/>
      <c r="B133" s="277"/>
      <c r="C133" s="277"/>
      <c r="D133" s="368"/>
      <c r="E133" s="368"/>
      <c r="F133" s="368"/>
      <c r="G133" s="369"/>
      <c r="H133" s="369"/>
      <c r="I133" s="278"/>
      <c r="J133" s="370"/>
      <c r="K133" s="370"/>
      <c r="L133" s="370"/>
      <c r="M133" s="370"/>
      <c r="N133" s="370"/>
      <c r="O133" s="370"/>
      <c r="P133" s="370"/>
      <c r="Q133" s="370"/>
      <c r="R133" s="370"/>
      <c r="S133" s="279"/>
      <c r="T133" s="362"/>
      <c r="U133" s="363"/>
      <c r="V133" s="363"/>
    </row>
    <row r="134" spans="1:22">
      <c r="A134" s="354">
        <v>39</v>
      </c>
      <c r="B134" s="355"/>
      <c r="C134" s="355"/>
      <c r="D134" s="356"/>
      <c r="E134" s="356"/>
      <c r="F134" s="356"/>
      <c r="G134" s="357"/>
      <c r="H134" s="357"/>
      <c r="I134" s="358"/>
      <c r="J134" s="359"/>
      <c r="K134" s="359"/>
      <c r="L134" s="359"/>
      <c r="M134" s="359"/>
      <c r="N134" s="359"/>
      <c r="O134" s="359"/>
      <c r="P134" s="359"/>
      <c r="Q134" s="359"/>
      <c r="R134" s="359"/>
      <c r="S134" s="361"/>
      <c r="T134" s="362"/>
      <c r="U134" s="363"/>
      <c r="V134" s="363"/>
    </row>
    <row r="135" spans="1:22">
      <c r="A135" s="354"/>
      <c r="B135" s="371"/>
      <c r="C135" s="371"/>
      <c r="D135" s="365"/>
      <c r="E135" s="365"/>
      <c r="F135" s="365"/>
      <c r="G135" s="366"/>
      <c r="H135" s="366"/>
      <c r="I135" s="358"/>
      <c r="J135" s="359"/>
      <c r="K135" s="359"/>
      <c r="L135" s="359"/>
      <c r="M135" s="359"/>
      <c r="N135" s="359"/>
      <c r="O135" s="359"/>
      <c r="P135" s="359"/>
      <c r="Q135" s="359"/>
      <c r="R135" s="359"/>
      <c r="S135" s="361"/>
      <c r="T135" s="362"/>
      <c r="U135" s="363"/>
      <c r="V135" s="363"/>
    </row>
    <row r="136" spans="1:22">
      <c r="A136" s="367"/>
      <c r="B136" s="277"/>
      <c r="C136" s="277"/>
      <c r="D136" s="368"/>
      <c r="E136" s="368"/>
      <c r="F136" s="368"/>
      <c r="G136" s="369"/>
      <c r="H136" s="369"/>
      <c r="I136" s="278"/>
      <c r="J136" s="370"/>
      <c r="K136" s="370"/>
      <c r="L136" s="370"/>
      <c r="M136" s="370"/>
      <c r="N136" s="370"/>
      <c r="O136" s="370"/>
      <c r="P136" s="370"/>
      <c r="Q136" s="370"/>
      <c r="R136" s="370"/>
      <c r="S136" s="279"/>
      <c r="T136" s="362"/>
      <c r="U136" s="363"/>
      <c r="V136" s="363"/>
    </row>
    <row r="137" spans="1:22">
      <c r="A137" s="354">
        <v>40</v>
      </c>
      <c r="B137" s="355"/>
      <c r="C137" s="355"/>
      <c r="D137" s="356"/>
      <c r="E137" s="356"/>
      <c r="F137" s="356"/>
      <c r="G137" s="357"/>
      <c r="H137" s="357"/>
      <c r="I137" s="358"/>
      <c r="J137" s="359"/>
      <c r="K137" s="359"/>
      <c r="L137" s="359"/>
      <c r="M137" s="359"/>
      <c r="N137" s="359"/>
      <c r="O137" s="359"/>
      <c r="P137" s="359"/>
      <c r="Q137" s="359"/>
      <c r="R137" s="359"/>
      <c r="S137" s="361"/>
      <c r="T137" s="362"/>
      <c r="U137" s="363"/>
      <c r="V137" s="363"/>
    </row>
    <row r="138" spans="1:22">
      <c r="A138" s="354"/>
      <c r="B138" s="371"/>
      <c r="C138" s="371"/>
      <c r="D138" s="365"/>
      <c r="E138" s="365"/>
      <c r="F138" s="365"/>
      <c r="G138" s="366"/>
      <c r="H138" s="366"/>
      <c r="I138" s="358"/>
      <c r="J138" s="359"/>
      <c r="K138" s="359"/>
      <c r="L138" s="359"/>
      <c r="M138" s="359"/>
      <c r="N138" s="359"/>
      <c r="O138" s="359"/>
      <c r="P138" s="359"/>
      <c r="Q138" s="359"/>
      <c r="R138" s="359"/>
      <c r="S138" s="361"/>
      <c r="T138" s="362"/>
      <c r="U138" s="363"/>
      <c r="V138" s="363"/>
    </row>
    <row r="139" spans="1:22">
      <c r="A139" s="367"/>
      <c r="B139" s="277"/>
      <c r="C139" s="277"/>
      <c r="D139" s="368"/>
      <c r="E139" s="368"/>
      <c r="F139" s="368"/>
      <c r="G139" s="369"/>
      <c r="H139" s="369"/>
      <c r="I139" s="278"/>
      <c r="J139" s="370"/>
      <c r="K139" s="370"/>
      <c r="L139" s="370"/>
      <c r="M139" s="370"/>
      <c r="N139" s="370"/>
      <c r="O139" s="370"/>
      <c r="P139" s="370"/>
      <c r="Q139" s="370"/>
      <c r="R139" s="370"/>
      <c r="S139" s="279"/>
      <c r="T139" s="362"/>
      <c r="U139" s="363"/>
      <c r="V139" s="363"/>
    </row>
    <row r="140" spans="1:22">
      <c r="A140" s="354">
        <v>41</v>
      </c>
      <c r="B140" s="355"/>
      <c r="C140" s="355"/>
      <c r="D140" s="356"/>
      <c r="E140" s="356"/>
      <c r="F140" s="356"/>
      <c r="G140" s="357"/>
      <c r="H140" s="357"/>
      <c r="I140" s="358"/>
      <c r="J140" s="359"/>
      <c r="K140" s="359"/>
      <c r="L140" s="359"/>
      <c r="M140" s="359"/>
      <c r="N140" s="359"/>
      <c r="O140" s="359"/>
      <c r="P140" s="359"/>
      <c r="Q140" s="359"/>
      <c r="R140" s="359"/>
      <c r="S140" s="361"/>
      <c r="T140" s="362"/>
      <c r="U140" s="363"/>
      <c r="V140" s="363"/>
    </row>
    <row r="141" spans="1:22">
      <c r="A141" s="354"/>
      <c r="B141" s="371"/>
      <c r="C141" s="371"/>
      <c r="D141" s="365"/>
      <c r="E141" s="365"/>
      <c r="F141" s="365"/>
      <c r="G141" s="366"/>
      <c r="H141" s="366"/>
      <c r="I141" s="358"/>
      <c r="J141" s="359"/>
      <c r="K141" s="359"/>
      <c r="L141" s="359"/>
      <c r="M141" s="359"/>
      <c r="N141" s="359"/>
      <c r="O141" s="359"/>
      <c r="P141" s="359"/>
      <c r="Q141" s="359"/>
      <c r="R141" s="359"/>
      <c r="S141" s="361"/>
      <c r="T141" s="362"/>
      <c r="U141" s="363"/>
      <c r="V141" s="363"/>
    </row>
    <row r="142" spans="1:22">
      <c r="A142" s="367"/>
      <c r="B142" s="277"/>
      <c r="C142" s="277"/>
      <c r="D142" s="368"/>
      <c r="E142" s="368"/>
      <c r="F142" s="368"/>
      <c r="G142" s="369"/>
      <c r="H142" s="369"/>
      <c r="I142" s="278"/>
      <c r="J142" s="370"/>
      <c r="K142" s="370"/>
      <c r="L142" s="370"/>
      <c r="M142" s="370"/>
      <c r="N142" s="370"/>
      <c r="O142" s="370"/>
      <c r="P142" s="370"/>
      <c r="Q142" s="370"/>
      <c r="R142" s="370"/>
      <c r="S142" s="279"/>
      <c r="T142" s="362"/>
      <c r="U142" s="363"/>
      <c r="V142" s="363"/>
    </row>
    <row r="143" spans="1:22">
      <c r="A143" s="354">
        <v>42</v>
      </c>
      <c r="B143" s="355"/>
      <c r="C143" s="355"/>
      <c r="D143" s="356"/>
      <c r="E143" s="356"/>
      <c r="F143" s="356"/>
      <c r="G143" s="357"/>
      <c r="H143" s="357"/>
      <c r="I143" s="358"/>
      <c r="J143" s="359"/>
      <c r="K143" s="359"/>
      <c r="L143" s="359"/>
      <c r="M143" s="359"/>
      <c r="N143" s="359"/>
      <c r="O143" s="359"/>
      <c r="P143" s="359"/>
      <c r="Q143" s="359"/>
      <c r="R143" s="359"/>
      <c r="S143" s="361"/>
      <c r="T143" s="362"/>
      <c r="U143" s="363"/>
      <c r="V143" s="363"/>
    </row>
    <row r="144" spans="1:22">
      <c r="A144" s="354"/>
      <c r="B144" s="371"/>
      <c r="C144" s="371"/>
      <c r="D144" s="365"/>
      <c r="E144" s="365"/>
      <c r="F144" s="365"/>
      <c r="G144" s="366"/>
      <c r="H144" s="366"/>
      <c r="I144" s="358"/>
      <c r="J144" s="359"/>
      <c r="K144" s="359"/>
      <c r="L144" s="359"/>
      <c r="M144" s="359"/>
      <c r="N144" s="359"/>
      <c r="O144" s="359"/>
      <c r="P144" s="359"/>
      <c r="Q144" s="359"/>
      <c r="R144" s="359"/>
      <c r="S144" s="361"/>
      <c r="T144" s="362"/>
      <c r="U144" s="363"/>
      <c r="V144" s="363"/>
    </row>
    <row r="145" spans="1:22">
      <c r="A145" s="367"/>
      <c r="B145" s="277"/>
      <c r="C145" s="277"/>
      <c r="D145" s="368"/>
      <c r="E145" s="368"/>
      <c r="F145" s="368"/>
      <c r="G145" s="369"/>
      <c r="H145" s="369"/>
      <c r="I145" s="278"/>
      <c r="J145" s="370"/>
      <c r="K145" s="370"/>
      <c r="L145" s="370"/>
      <c r="M145" s="370"/>
      <c r="N145" s="370"/>
      <c r="O145" s="370"/>
      <c r="P145" s="370"/>
      <c r="Q145" s="370"/>
      <c r="R145" s="370"/>
      <c r="S145" s="279"/>
      <c r="T145" s="362"/>
      <c r="U145" s="363"/>
      <c r="V145" s="363"/>
    </row>
    <row r="146" spans="1:22">
      <c r="A146" s="354">
        <v>43</v>
      </c>
      <c r="B146" s="355"/>
      <c r="C146" s="355"/>
      <c r="D146" s="356"/>
      <c r="E146" s="356"/>
      <c r="F146" s="356"/>
      <c r="G146" s="357"/>
      <c r="H146" s="357"/>
      <c r="I146" s="358"/>
      <c r="J146" s="359"/>
      <c r="K146" s="359"/>
      <c r="L146" s="359"/>
      <c r="M146" s="359"/>
      <c r="N146" s="359"/>
      <c r="O146" s="359"/>
      <c r="P146" s="359"/>
      <c r="Q146" s="359"/>
      <c r="R146" s="359"/>
      <c r="S146" s="361"/>
      <c r="T146" s="362"/>
      <c r="U146" s="363"/>
      <c r="V146" s="363"/>
    </row>
    <row r="147" spans="1:22">
      <c r="A147" s="354"/>
      <c r="B147" s="371"/>
      <c r="C147" s="371"/>
      <c r="D147" s="365"/>
      <c r="E147" s="365"/>
      <c r="F147" s="365"/>
      <c r="G147" s="366"/>
      <c r="H147" s="366"/>
      <c r="I147" s="358"/>
      <c r="J147" s="359"/>
      <c r="K147" s="359"/>
      <c r="L147" s="359"/>
      <c r="M147" s="359"/>
      <c r="N147" s="359"/>
      <c r="O147" s="359"/>
      <c r="P147" s="359"/>
      <c r="Q147" s="359"/>
      <c r="R147" s="359"/>
      <c r="S147" s="361"/>
      <c r="T147" s="362"/>
      <c r="U147" s="363"/>
      <c r="V147" s="363"/>
    </row>
    <row r="148" spans="1:22">
      <c r="A148" s="367"/>
      <c r="B148" s="277"/>
      <c r="C148" s="277"/>
      <c r="D148" s="368"/>
      <c r="E148" s="368"/>
      <c r="F148" s="368"/>
      <c r="G148" s="369"/>
      <c r="H148" s="369"/>
      <c r="I148" s="278"/>
      <c r="J148" s="370"/>
      <c r="K148" s="370"/>
      <c r="L148" s="370"/>
      <c r="M148" s="370"/>
      <c r="N148" s="370"/>
      <c r="O148" s="370"/>
      <c r="P148" s="370"/>
      <c r="Q148" s="370"/>
      <c r="R148" s="370"/>
      <c r="S148" s="279"/>
      <c r="T148" s="362"/>
      <c r="U148" s="363"/>
      <c r="V148" s="363"/>
    </row>
    <row r="149" spans="1:22">
      <c r="A149" s="354">
        <v>44</v>
      </c>
      <c r="B149" s="355"/>
      <c r="C149" s="355"/>
      <c r="D149" s="356"/>
      <c r="E149" s="356"/>
      <c r="F149" s="356"/>
      <c r="G149" s="357"/>
      <c r="H149" s="357"/>
      <c r="I149" s="358"/>
      <c r="J149" s="359"/>
      <c r="K149" s="359"/>
      <c r="L149" s="359"/>
      <c r="M149" s="359"/>
      <c r="N149" s="359"/>
      <c r="O149" s="359"/>
      <c r="P149" s="359"/>
      <c r="Q149" s="359"/>
      <c r="R149" s="359"/>
      <c r="S149" s="361"/>
      <c r="T149" s="362"/>
      <c r="U149" s="363"/>
      <c r="V149" s="363"/>
    </row>
    <row r="150" spans="1:22">
      <c r="A150" s="354"/>
      <c r="B150" s="371"/>
      <c r="C150" s="371"/>
      <c r="D150" s="365"/>
      <c r="E150" s="365"/>
      <c r="F150" s="365"/>
      <c r="G150" s="366"/>
      <c r="H150" s="366"/>
      <c r="I150" s="358"/>
      <c r="J150" s="359"/>
      <c r="K150" s="359"/>
      <c r="L150" s="359"/>
      <c r="M150" s="359"/>
      <c r="N150" s="359"/>
      <c r="O150" s="359"/>
      <c r="P150" s="359"/>
      <c r="Q150" s="359"/>
      <c r="R150" s="359"/>
      <c r="S150" s="361"/>
      <c r="T150" s="362"/>
      <c r="U150" s="363"/>
      <c r="V150" s="363"/>
    </row>
    <row r="151" spans="1:22">
      <c r="A151" s="367"/>
      <c r="B151" s="277"/>
      <c r="C151" s="277"/>
      <c r="D151" s="368"/>
      <c r="E151" s="368"/>
      <c r="F151" s="368"/>
      <c r="G151" s="369"/>
      <c r="H151" s="369"/>
      <c r="I151" s="278"/>
      <c r="J151" s="370"/>
      <c r="K151" s="370"/>
      <c r="L151" s="370"/>
      <c r="M151" s="370"/>
      <c r="N151" s="370"/>
      <c r="O151" s="370"/>
      <c r="P151" s="370"/>
      <c r="Q151" s="370"/>
      <c r="R151" s="370"/>
      <c r="S151" s="279"/>
      <c r="T151" s="362"/>
      <c r="U151" s="363"/>
      <c r="V151" s="363"/>
    </row>
    <row r="152" spans="1:22">
      <c r="A152" s="354">
        <v>45</v>
      </c>
      <c r="B152" s="355"/>
      <c r="C152" s="355"/>
      <c r="D152" s="356"/>
      <c r="E152" s="356"/>
      <c r="F152" s="356"/>
      <c r="G152" s="357"/>
      <c r="H152" s="357"/>
      <c r="I152" s="358"/>
      <c r="J152" s="359"/>
      <c r="K152" s="359"/>
      <c r="L152" s="359"/>
      <c r="M152" s="359"/>
      <c r="N152" s="359"/>
      <c r="O152" s="359"/>
      <c r="P152" s="359"/>
      <c r="Q152" s="359"/>
      <c r="R152" s="359"/>
      <c r="S152" s="361"/>
      <c r="T152" s="362"/>
      <c r="U152" s="363"/>
      <c r="V152" s="363"/>
    </row>
    <row r="153" spans="1:22">
      <c r="A153" s="354"/>
      <c r="B153" s="371"/>
      <c r="C153" s="371"/>
      <c r="D153" s="365"/>
      <c r="E153" s="365"/>
      <c r="F153" s="365"/>
      <c r="G153" s="366"/>
      <c r="H153" s="366"/>
      <c r="I153" s="358"/>
      <c r="J153" s="359"/>
      <c r="K153" s="359"/>
      <c r="L153" s="359"/>
      <c r="M153" s="359"/>
      <c r="N153" s="359"/>
      <c r="O153" s="359"/>
      <c r="P153" s="359"/>
      <c r="Q153" s="359"/>
      <c r="R153" s="359"/>
      <c r="S153" s="361"/>
      <c r="T153" s="362"/>
      <c r="U153" s="363"/>
      <c r="V153" s="363"/>
    </row>
    <row r="154" spans="1:22">
      <c r="A154" s="367"/>
      <c r="B154" s="277"/>
      <c r="C154" s="277"/>
      <c r="D154" s="368"/>
      <c r="E154" s="368"/>
      <c r="F154" s="368"/>
      <c r="G154" s="369"/>
      <c r="H154" s="369"/>
      <c r="I154" s="278"/>
      <c r="J154" s="370"/>
      <c r="K154" s="370"/>
      <c r="L154" s="370"/>
      <c r="M154" s="370"/>
      <c r="N154" s="370"/>
      <c r="O154" s="370"/>
      <c r="P154" s="370"/>
      <c r="Q154" s="370"/>
      <c r="R154" s="370"/>
      <c r="S154" s="279"/>
      <c r="T154" s="362"/>
      <c r="U154" s="363"/>
      <c r="V154" s="363"/>
    </row>
    <row r="155" spans="1:22">
      <c r="A155" s="354">
        <v>46</v>
      </c>
      <c r="B155" s="355"/>
      <c r="C155" s="355"/>
      <c r="D155" s="356"/>
      <c r="E155" s="356"/>
      <c r="F155" s="356"/>
      <c r="G155" s="357"/>
      <c r="H155" s="357"/>
      <c r="I155" s="358"/>
      <c r="J155" s="359"/>
      <c r="K155" s="359"/>
      <c r="L155" s="359"/>
      <c r="M155" s="359"/>
      <c r="N155" s="359"/>
      <c r="O155" s="359"/>
      <c r="P155" s="359"/>
      <c r="Q155" s="359"/>
      <c r="R155" s="359"/>
      <c r="S155" s="361"/>
      <c r="T155" s="362"/>
      <c r="U155" s="363"/>
      <c r="V155" s="363"/>
    </row>
    <row r="156" spans="1:22">
      <c r="A156" s="354"/>
      <c r="B156" s="371"/>
      <c r="C156" s="371"/>
      <c r="D156" s="365"/>
      <c r="E156" s="365"/>
      <c r="F156" s="365"/>
      <c r="G156" s="366"/>
      <c r="H156" s="366"/>
      <c r="I156" s="358"/>
      <c r="J156" s="359"/>
      <c r="K156" s="359"/>
      <c r="L156" s="359"/>
      <c r="M156" s="359"/>
      <c r="N156" s="359"/>
      <c r="O156" s="359"/>
      <c r="P156" s="359"/>
      <c r="Q156" s="359"/>
      <c r="R156" s="359"/>
      <c r="S156" s="361"/>
      <c r="T156" s="362"/>
      <c r="U156" s="363"/>
      <c r="V156" s="363"/>
    </row>
    <row r="157" spans="1:22">
      <c r="A157" s="367"/>
      <c r="B157" s="277"/>
      <c r="C157" s="277"/>
      <c r="D157" s="368"/>
      <c r="E157" s="368"/>
      <c r="F157" s="368"/>
      <c r="G157" s="369"/>
      <c r="H157" s="369"/>
      <c r="I157" s="278"/>
      <c r="J157" s="370"/>
      <c r="K157" s="370"/>
      <c r="L157" s="370"/>
      <c r="M157" s="370"/>
      <c r="N157" s="370"/>
      <c r="O157" s="370"/>
      <c r="P157" s="370"/>
      <c r="Q157" s="370"/>
      <c r="R157" s="370"/>
      <c r="S157" s="279"/>
      <c r="T157" s="362"/>
      <c r="U157" s="363"/>
      <c r="V157" s="363"/>
    </row>
    <row r="158" spans="1:22">
      <c r="A158" s="354">
        <v>47</v>
      </c>
      <c r="B158" s="355"/>
      <c r="C158" s="355"/>
      <c r="D158" s="356"/>
      <c r="E158" s="356"/>
      <c r="F158" s="356"/>
      <c r="G158" s="357"/>
      <c r="H158" s="357"/>
      <c r="I158" s="358"/>
      <c r="J158" s="359"/>
      <c r="K158" s="359"/>
      <c r="L158" s="359"/>
      <c r="M158" s="359"/>
      <c r="N158" s="359"/>
      <c r="O158" s="359"/>
      <c r="P158" s="359"/>
      <c r="Q158" s="359"/>
      <c r="R158" s="359"/>
      <c r="S158" s="361"/>
      <c r="T158" s="362"/>
      <c r="U158" s="363"/>
      <c r="V158" s="363"/>
    </row>
    <row r="159" spans="1:22">
      <c r="A159" s="354"/>
      <c r="B159" s="371"/>
      <c r="C159" s="371"/>
      <c r="D159" s="365"/>
      <c r="E159" s="365"/>
      <c r="F159" s="365"/>
      <c r="G159" s="366"/>
      <c r="H159" s="366"/>
      <c r="I159" s="358"/>
      <c r="J159" s="359"/>
      <c r="K159" s="359"/>
      <c r="L159" s="359"/>
      <c r="M159" s="359"/>
      <c r="N159" s="359"/>
      <c r="O159" s="359"/>
      <c r="P159" s="359"/>
      <c r="Q159" s="359"/>
      <c r="R159" s="359"/>
      <c r="S159" s="361"/>
      <c r="T159" s="362"/>
      <c r="U159" s="363"/>
      <c r="V159" s="363"/>
    </row>
    <row r="160" spans="1:22">
      <c r="A160" s="367"/>
      <c r="B160" s="277"/>
      <c r="C160" s="277"/>
      <c r="D160" s="368"/>
      <c r="E160" s="368"/>
      <c r="F160" s="368"/>
      <c r="G160" s="369"/>
      <c r="H160" s="369"/>
      <c r="I160" s="278"/>
      <c r="J160" s="370"/>
      <c r="K160" s="370"/>
      <c r="L160" s="370"/>
      <c r="M160" s="370"/>
      <c r="N160" s="370"/>
      <c r="O160" s="370"/>
      <c r="P160" s="370"/>
      <c r="Q160" s="370"/>
      <c r="R160" s="370"/>
      <c r="S160" s="279"/>
      <c r="T160" s="362"/>
      <c r="U160" s="363"/>
      <c r="V160" s="363"/>
    </row>
    <row r="161" spans="1:22">
      <c r="A161" s="354">
        <v>48</v>
      </c>
      <c r="B161" s="355"/>
      <c r="C161" s="355"/>
      <c r="D161" s="356"/>
      <c r="E161" s="356"/>
      <c r="F161" s="356"/>
      <c r="G161" s="357"/>
      <c r="H161" s="357"/>
      <c r="I161" s="358"/>
      <c r="J161" s="359"/>
      <c r="K161" s="359"/>
      <c r="L161" s="359"/>
      <c r="M161" s="359"/>
      <c r="N161" s="359"/>
      <c r="O161" s="359"/>
      <c r="P161" s="359"/>
      <c r="Q161" s="359"/>
      <c r="R161" s="359"/>
      <c r="S161" s="361"/>
      <c r="T161" s="362"/>
      <c r="U161" s="363"/>
      <c r="V161" s="363"/>
    </row>
    <row r="162" spans="1:22">
      <c r="A162" s="354"/>
      <c r="B162" s="371"/>
      <c r="C162" s="371"/>
      <c r="D162" s="365"/>
      <c r="E162" s="365"/>
      <c r="F162" s="365"/>
      <c r="G162" s="366"/>
      <c r="H162" s="366"/>
      <c r="I162" s="358"/>
      <c r="J162" s="359"/>
      <c r="K162" s="359"/>
      <c r="L162" s="359"/>
      <c r="M162" s="359"/>
      <c r="N162" s="359"/>
      <c r="O162" s="359"/>
      <c r="P162" s="359"/>
      <c r="Q162" s="359"/>
      <c r="R162" s="359"/>
      <c r="S162" s="361"/>
      <c r="T162" s="362"/>
      <c r="U162" s="363"/>
      <c r="V162" s="363"/>
    </row>
    <row r="163" spans="1:22">
      <c r="A163" s="367"/>
      <c r="B163" s="277"/>
      <c r="C163" s="277"/>
      <c r="D163" s="368"/>
      <c r="E163" s="368"/>
      <c r="F163" s="368"/>
      <c r="G163" s="369"/>
      <c r="H163" s="369"/>
      <c r="I163" s="278"/>
      <c r="J163" s="370"/>
      <c r="K163" s="370"/>
      <c r="L163" s="370"/>
      <c r="M163" s="370"/>
      <c r="N163" s="370"/>
      <c r="O163" s="370"/>
      <c r="P163" s="370"/>
      <c r="Q163" s="370"/>
      <c r="R163" s="370"/>
      <c r="S163" s="279"/>
      <c r="T163" s="362"/>
      <c r="U163" s="363"/>
      <c r="V163" s="363"/>
    </row>
    <row r="164" spans="1:22">
      <c r="A164" s="354">
        <v>49</v>
      </c>
      <c r="B164" s="355"/>
      <c r="C164" s="355"/>
      <c r="D164" s="356"/>
      <c r="E164" s="356"/>
      <c r="F164" s="356"/>
      <c r="G164" s="357"/>
      <c r="H164" s="357"/>
      <c r="I164" s="358"/>
      <c r="J164" s="359"/>
      <c r="K164" s="359"/>
      <c r="L164" s="359"/>
      <c r="M164" s="359"/>
      <c r="N164" s="359"/>
      <c r="O164" s="359"/>
      <c r="P164" s="359"/>
      <c r="Q164" s="359"/>
      <c r="R164" s="359"/>
      <c r="S164" s="361"/>
      <c r="T164" s="362"/>
      <c r="U164" s="363"/>
      <c r="V164" s="363"/>
    </row>
    <row r="165" spans="1:22">
      <c r="A165" s="354"/>
      <c r="B165" s="371"/>
      <c r="C165" s="371"/>
      <c r="D165" s="365"/>
      <c r="E165" s="365"/>
      <c r="F165" s="365"/>
      <c r="G165" s="366"/>
      <c r="H165" s="366"/>
      <c r="I165" s="358"/>
      <c r="J165" s="359"/>
      <c r="K165" s="359"/>
      <c r="L165" s="359"/>
      <c r="M165" s="359"/>
      <c r="N165" s="359"/>
      <c r="O165" s="359"/>
      <c r="P165" s="359"/>
      <c r="Q165" s="359"/>
      <c r="R165" s="359"/>
      <c r="S165" s="361"/>
      <c r="T165" s="362"/>
      <c r="U165" s="363"/>
      <c r="V165" s="363"/>
    </row>
    <row r="166" spans="1:22">
      <c r="A166" s="367"/>
      <c r="B166" s="277"/>
      <c r="C166" s="277"/>
      <c r="D166" s="368"/>
      <c r="E166" s="368"/>
      <c r="F166" s="368"/>
      <c r="G166" s="369"/>
      <c r="H166" s="369"/>
      <c r="I166" s="278"/>
      <c r="J166" s="370"/>
      <c r="K166" s="370"/>
      <c r="L166" s="370"/>
      <c r="M166" s="370"/>
      <c r="N166" s="370"/>
      <c r="O166" s="370"/>
      <c r="P166" s="370"/>
      <c r="Q166" s="370"/>
      <c r="R166" s="370"/>
      <c r="S166" s="279"/>
      <c r="T166" s="362"/>
      <c r="U166" s="363"/>
      <c r="V166" s="363"/>
    </row>
    <row r="167" spans="1:22">
      <c r="A167" s="354">
        <v>50</v>
      </c>
      <c r="B167" s="355"/>
      <c r="C167" s="355"/>
      <c r="D167" s="356"/>
      <c r="E167" s="356"/>
      <c r="F167" s="356"/>
      <c r="G167" s="357"/>
      <c r="H167" s="357"/>
      <c r="I167" s="358"/>
      <c r="J167" s="359"/>
      <c r="K167" s="359"/>
      <c r="L167" s="359"/>
      <c r="M167" s="359"/>
      <c r="N167" s="359"/>
      <c r="O167" s="359"/>
      <c r="P167" s="359"/>
      <c r="Q167" s="359"/>
      <c r="R167" s="359"/>
      <c r="S167" s="361"/>
      <c r="T167" s="362"/>
      <c r="U167" s="363"/>
      <c r="V167" s="363"/>
    </row>
    <row r="168" spans="1:22">
      <c r="A168" s="354"/>
      <c r="B168" s="371"/>
      <c r="C168" s="371"/>
      <c r="D168" s="365"/>
      <c r="E168" s="365"/>
      <c r="F168" s="365"/>
      <c r="G168" s="366"/>
      <c r="H168" s="366"/>
      <c r="I168" s="358"/>
      <c r="J168" s="359"/>
      <c r="K168" s="359"/>
      <c r="L168" s="359"/>
      <c r="M168" s="359"/>
      <c r="N168" s="359"/>
      <c r="O168" s="359"/>
      <c r="P168" s="359"/>
      <c r="Q168" s="359"/>
      <c r="R168" s="359"/>
      <c r="S168" s="361"/>
      <c r="T168" s="362"/>
      <c r="U168" s="363"/>
      <c r="V168" s="363"/>
    </row>
    <row r="169" spans="1:22">
      <c r="A169" s="367"/>
      <c r="B169" s="277"/>
      <c r="C169" s="277"/>
      <c r="D169" s="368"/>
      <c r="E169" s="368"/>
      <c r="F169" s="368"/>
      <c r="G169" s="369"/>
      <c r="H169" s="369"/>
      <c r="I169" s="278"/>
      <c r="J169" s="370"/>
      <c r="K169" s="370"/>
      <c r="L169" s="370"/>
      <c r="M169" s="370"/>
      <c r="N169" s="370"/>
      <c r="O169" s="370"/>
      <c r="P169" s="370"/>
      <c r="Q169" s="370"/>
      <c r="R169" s="370"/>
      <c r="S169" s="279"/>
      <c r="T169" s="362"/>
      <c r="U169" s="363"/>
      <c r="V169" s="363"/>
    </row>
    <row r="182" spans="77:77">
      <c r="BY182" s="373" t="s">
        <v>206</v>
      </c>
    </row>
  </sheetData>
  <mergeCells count="1086">
    <mergeCell ref="A1:S1"/>
    <mergeCell ref="A2:B2"/>
    <mergeCell ref="C2:E2"/>
    <mergeCell ref="G2:H2"/>
    <mergeCell ref="J2:N2"/>
    <mergeCell ref="A3:B3"/>
    <mergeCell ref="C3:D3"/>
    <mergeCell ref="H3:J3"/>
    <mergeCell ref="L3:N3"/>
    <mergeCell ref="P3:S3"/>
    <mergeCell ref="A4:D4"/>
    <mergeCell ref="E4:F4"/>
    <mergeCell ref="G4:I4"/>
    <mergeCell ref="K4:N4"/>
    <mergeCell ref="O4:S4"/>
    <mergeCell ref="A5:B5"/>
    <mergeCell ref="G5:J5"/>
    <mergeCell ref="L5:N5"/>
    <mergeCell ref="O5:P5"/>
    <mergeCell ref="Q5:S5"/>
    <mergeCell ref="A6:D6"/>
    <mergeCell ref="E6:F6"/>
    <mergeCell ref="G6:J6"/>
    <mergeCell ref="K6:N6"/>
    <mergeCell ref="O6:S6"/>
    <mergeCell ref="A7:B7"/>
    <mergeCell ref="C7:D7"/>
    <mergeCell ref="H7:J7"/>
    <mergeCell ref="L7:N7"/>
    <mergeCell ref="P7:S7"/>
    <mergeCell ref="A8:D8"/>
    <mergeCell ref="E8:F8"/>
    <mergeCell ref="G8:I8"/>
    <mergeCell ref="K8:N8"/>
    <mergeCell ref="O8:S8"/>
    <mergeCell ref="A9:B9"/>
    <mergeCell ref="C9:D9"/>
    <mergeCell ref="H9:J9"/>
    <mergeCell ref="L9:N9"/>
    <mergeCell ref="P9:S9"/>
    <mergeCell ref="A10:D10"/>
    <mergeCell ref="E10:F10"/>
    <mergeCell ref="G10:J10"/>
    <mergeCell ref="K10:N10"/>
    <mergeCell ref="O10:S10"/>
    <mergeCell ref="A11:B11"/>
    <mergeCell ref="C11:D11"/>
    <mergeCell ref="G11:H11"/>
    <mergeCell ref="L11:M11"/>
    <mergeCell ref="O11:P11"/>
    <mergeCell ref="R11:S11"/>
    <mergeCell ref="A12:D12"/>
    <mergeCell ref="G12:H12"/>
    <mergeCell ref="I12:J12"/>
    <mergeCell ref="K12:M12"/>
    <mergeCell ref="N12:P12"/>
    <mergeCell ref="Q12:S12"/>
    <mergeCell ref="T12:V12"/>
    <mergeCell ref="W12:AB12"/>
    <mergeCell ref="C13:S13"/>
    <mergeCell ref="T13:V13"/>
    <mergeCell ref="W13:AB13"/>
    <mergeCell ref="A14:C14"/>
    <mergeCell ref="D14:S14"/>
    <mergeCell ref="T14:V14"/>
    <mergeCell ref="W14:AB14"/>
    <mergeCell ref="C15:S15"/>
    <mergeCell ref="T15:V15"/>
    <mergeCell ref="W15:AB15"/>
    <mergeCell ref="B16:S16"/>
    <mergeCell ref="T16:V16"/>
    <mergeCell ref="W16:AB16"/>
    <mergeCell ref="A17:K17"/>
    <mergeCell ref="L17:N17"/>
    <mergeCell ref="O17:S17"/>
    <mergeCell ref="W17:AC17"/>
    <mergeCell ref="F18:G18"/>
    <mergeCell ref="I18:J18"/>
    <mergeCell ref="L18:S18"/>
    <mergeCell ref="B19:C19"/>
    <mergeCell ref="D19:F19"/>
    <mergeCell ref="G19:H19"/>
    <mergeCell ref="I19:J19"/>
    <mergeCell ref="K19:L19"/>
    <mergeCell ref="M19:O19"/>
    <mergeCell ref="P19:R19"/>
    <mergeCell ref="B20:C20"/>
    <mergeCell ref="D20:F20"/>
    <mergeCell ref="I20:J20"/>
    <mergeCell ref="K20:L20"/>
    <mergeCell ref="M20:O20"/>
    <mergeCell ref="P20:R20"/>
    <mergeCell ref="B21:C21"/>
    <mergeCell ref="I21:J21"/>
    <mergeCell ref="K21:L21"/>
    <mergeCell ref="M21:O21"/>
    <mergeCell ref="P21:R21"/>
    <mergeCell ref="B22:C22"/>
    <mergeCell ref="I22:J22"/>
    <mergeCell ref="K22:L22"/>
    <mergeCell ref="M22:O22"/>
    <mergeCell ref="P22:R22"/>
    <mergeCell ref="B23:C23"/>
    <mergeCell ref="D23:F23"/>
    <mergeCell ref="I23:J23"/>
    <mergeCell ref="K23:L23"/>
    <mergeCell ref="M23:O23"/>
    <mergeCell ref="P23:R23"/>
    <mergeCell ref="B24:C24"/>
    <mergeCell ref="I24:J24"/>
    <mergeCell ref="K24:L24"/>
    <mergeCell ref="M24:O24"/>
    <mergeCell ref="P24:R24"/>
    <mergeCell ref="B25:C25"/>
    <mergeCell ref="I25:J25"/>
    <mergeCell ref="K25:L25"/>
    <mergeCell ref="M25:O25"/>
    <mergeCell ref="P25:R25"/>
    <mergeCell ref="B26:C26"/>
    <mergeCell ref="D26:F26"/>
    <mergeCell ref="I26:J26"/>
    <mergeCell ref="K26:L26"/>
    <mergeCell ref="M26:O26"/>
    <mergeCell ref="P26:R26"/>
    <mergeCell ref="B27:C27"/>
    <mergeCell ref="I27:J27"/>
    <mergeCell ref="K27:L27"/>
    <mergeCell ref="M27:O27"/>
    <mergeCell ref="P27:R27"/>
    <mergeCell ref="B28:C28"/>
    <mergeCell ref="I28:J28"/>
    <mergeCell ref="K28:L28"/>
    <mergeCell ref="M28:O28"/>
    <mergeCell ref="P28:R28"/>
    <mergeCell ref="B29:C29"/>
    <mergeCell ref="D29:F29"/>
    <mergeCell ref="I29:J29"/>
    <mergeCell ref="K29:L29"/>
    <mergeCell ref="M29:O29"/>
    <mergeCell ref="P29:R29"/>
    <mergeCell ref="B30:C30"/>
    <mergeCell ref="I30:J30"/>
    <mergeCell ref="K30:L30"/>
    <mergeCell ref="M30:O30"/>
    <mergeCell ref="P30:R30"/>
    <mergeCell ref="B31:C31"/>
    <mergeCell ref="I31:J31"/>
    <mergeCell ref="K31:L31"/>
    <mergeCell ref="M31:O31"/>
    <mergeCell ref="P31:R31"/>
    <mergeCell ref="B32:C32"/>
    <mergeCell ref="D32:F32"/>
    <mergeCell ref="I32:J32"/>
    <mergeCell ref="K32:L32"/>
    <mergeCell ref="M32:O32"/>
    <mergeCell ref="P32:R32"/>
    <mergeCell ref="B33:C33"/>
    <mergeCell ref="I33:J33"/>
    <mergeCell ref="K33:L33"/>
    <mergeCell ref="M33:O33"/>
    <mergeCell ref="P33:R33"/>
    <mergeCell ref="B34:C34"/>
    <mergeCell ref="I34:J34"/>
    <mergeCell ref="K34:L34"/>
    <mergeCell ref="M34:O34"/>
    <mergeCell ref="P34:R34"/>
    <mergeCell ref="B35:C35"/>
    <mergeCell ref="D35:F35"/>
    <mergeCell ref="I35:J35"/>
    <mergeCell ref="K35:L35"/>
    <mergeCell ref="M35:O35"/>
    <mergeCell ref="P35:R35"/>
    <mergeCell ref="B36:C36"/>
    <mergeCell ref="I36:J36"/>
    <mergeCell ref="K36:L36"/>
    <mergeCell ref="M36:O36"/>
    <mergeCell ref="P36:R36"/>
    <mergeCell ref="B37:C37"/>
    <mergeCell ref="I37:J37"/>
    <mergeCell ref="K37:L37"/>
    <mergeCell ref="M37:O37"/>
    <mergeCell ref="P37:R37"/>
    <mergeCell ref="B38:C38"/>
    <mergeCell ref="D38:F38"/>
    <mergeCell ref="I38:J38"/>
    <mergeCell ref="K38:L38"/>
    <mergeCell ref="M38:O38"/>
    <mergeCell ref="P38:R38"/>
    <mergeCell ref="B39:C39"/>
    <mergeCell ref="I39:J39"/>
    <mergeCell ref="K39:L39"/>
    <mergeCell ref="M39:O39"/>
    <mergeCell ref="P39:R39"/>
    <mergeCell ref="B40:C40"/>
    <mergeCell ref="I40:J40"/>
    <mergeCell ref="K40:L40"/>
    <mergeCell ref="M40:O40"/>
    <mergeCell ref="P40:R40"/>
    <mergeCell ref="B41:C41"/>
    <mergeCell ref="D41:F41"/>
    <mergeCell ref="I41:J41"/>
    <mergeCell ref="K41:L41"/>
    <mergeCell ref="M41:O41"/>
    <mergeCell ref="P41:R41"/>
    <mergeCell ref="B42:C42"/>
    <mergeCell ref="I42:J42"/>
    <mergeCell ref="K42:L42"/>
    <mergeCell ref="M42:O42"/>
    <mergeCell ref="P42:R42"/>
    <mergeCell ref="B43:C43"/>
    <mergeCell ref="I43:J43"/>
    <mergeCell ref="K43:L43"/>
    <mergeCell ref="M43:O43"/>
    <mergeCell ref="P43:R43"/>
    <mergeCell ref="B44:C44"/>
    <mergeCell ref="D44:F44"/>
    <mergeCell ref="I44:J44"/>
    <mergeCell ref="K44:L44"/>
    <mergeCell ref="M44:O44"/>
    <mergeCell ref="P44:R44"/>
    <mergeCell ref="B45:C45"/>
    <mergeCell ref="I45:J45"/>
    <mergeCell ref="K45:L45"/>
    <mergeCell ref="M45:O45"/>
    <mergeCell ref="P45:R45"/>
    <mergeCell ref="B46:C46"/>
    <mergeCell ref="I46:J46"/>
    <mergeCell ref="K46:L46"/>
    <mergeCell ref="M46:O46"/>
    <mergeCell ref="P46:R46"/>
    <mergeCell ref="B47:C47"/>
    <mergeCell ref="D47:F47"/>
    <mergeCell ref="I47:J47"/>
    <mergeCell ref="K47:L47"/>
    <mergeCell ref="M47:O47"/>
    <mergeCell ref="P47:R47"/>
    <mergeCell ref="B48:C48"/>
    <mergeCell ref="I48:J48"/>
    <mergeCell ref="K48:L48"/>
    <mergeCell ref="M48:O48"/>
    <mergeCell ref="P48:R48"/>
    <mergeCell ref="B49:C49"/>
    <mergeCell ref="I49:J49"/>
    <mergeCell ref="K49:L49"/>
    <mergeCell ref="M49:O49"/>
    <mergeCell ref="P49:R49"/>
    <mergeCell ref="B50:C50"/>
    <mergeCell ref="D50:F50"/>
    <mergeCell ref="I50:J50"/>
    <mergeCell ref="K50:L50"/>
    <mergeCell ref="M50:O50"/>
    <mergeCell ref="P50:R50"/>
    <mergeCell ref="B51:C51"/>
    <mergeCell ref="I51:J51"/>
    <mergeCell ref="K51:L51"/>
    <mergeCell ref="M51:O51"/>
    <mergeCell ref="P51:R51"/>
    <mergeCell ref="B52:C52"/>
    <mergeCell ref="I52:J52"/>
    <mergeCell ref="K52:L52"/>
    <mergeCell ref="M52:O52"/>
    <mergeCell ref="P52:R52"/>
    <mergeCell ref="B53:C53"/>
    <mergeCell ref="D53:F53"/>
    <mergeCell ref="I53:J53"/>
    <mergeCell ref="K53:L53"/>
    <mergeCell ref="M53:O53"/>
    <mergeCell ref="P53:R53"/>
    <mergeCell ref="B54:C54"/>
    <mergeCell ref="I54:J54"/>
    <mergeCell ref="K54:L54"/>
    <mergeCell ref="M54:O54"/>
    <mergeCell ref="P54:R54"/>
    <mergeCell ref="B55:C55"/>
    <mergeCell ref="I55:J55"/>
    <mergeCell ref="K55:L55"/>
    <mergeCell ref="M55:O55"/>
    <mergeCell ref="P55:R55"/>
    <mergeCell ref="B56:C56"/>
    <mergeCell ref="D56:F56"/>
    <mergeCell ref="I56:J56"/>
    <mergeCell ref="K56:L56"/>
    <mergeCell ref="M56:O56"/>
    <mergeCell ref="P56:R56"/>
    <mergeCell ref="B57:C57"/>
    <mergeCell ref="I57:J57"/>
    <mergeCell ref="K57:L57"/>
    <mergeCell ref="M57:O57"/>
    <mergeCell ref="P57:R57"/>
    <mergeCell ref="B58:C58"/>
    <mergeCell ref="I58:J58"/>
    <mergeCell ref="K58:L58"/>
    <mergeCell ref="M58:O58"/>
    <mergeCell ref="P58:R58"/>
    <mergeCell ref="B59:C59"/>
    <mergeCell ref="D59:F59"/>
    <mergeCell ref="I59:J59"/>
    <mergeCell ref="K59:L59"/>
    <mergeCell ref="M59:O59"/>
    <mergeCell ref="P59:R59"/>
    <mergeCell ref="B60:C60"/>
    <mergeCell ref="I60:J60"/>
    <mergeCell ref="K60:L60"/>
    <mergeCell ref="M60:O60"/>
    <mergeCell ref="P60:R60"/>
    <mergeCell ref="B61:C61"/>
    <mergeCell ref="I61:J61"/>
    <mergeCell ref="K61:L61"/>
    <mergeCell ref="M61:O61"/>
    <mergeCell ref="P61:R61"/>
    <mergeCell ref="B62:C62"/>
    <mergeCell ref="D62:F62"/>
    <mergeCell ref="I62:J62"/>
    <mergeCell ref="K62:L62"/>
    <mergeCell ref="M62:O62"/>
    <mergeCell ref="P62:R62"/>
    <mergeCell ref="B63:C63"/>
    <mergeCell ref="I63:J63"/>
    <mergeCell ref="K63:L63"/>
    <mergeCell ref="M63:O63"/>
    <mergeCell ref="P63:R63"/>
    <mergeCell ref="B64:C64"/>
    <mergeCell ref="I64:J64"/>
    <mergeCell ref="K64:L64"/>
    <mergeCell ref="M64:O64"/>
    <mergeCell ref="P64:R64"/>
    <mergeCell ref="B65:C65"/>
    <mergeCell ref="D65:F65"/>
    <mergeCell ref="I65:J65"/>
    <mergeCell ref="K65:L65"/>
    <mergeCell ref="M65:O65"/>
    <mergeCell ref="P65:R65"/>
    <mergeCell ref="B66:C66"/>
    <mergeCell ref="I66:J66"/>
    <mergeCell ref="K66:L66"/>
    <mergeCell ref="M66:O66"/>
    <mergeCell ref="P66:R66"/>
    <mergeCell ref="B67:C67"/>
    <mergeCell ref="I67:J67"/>
    <mergeCell ref="K67:L67"/>
    <mergeCell ref="M67:O67"/>
    <mergeCell ref="P67:R67"/>
    <mergeCell ref="B68:C68"/>
    <mergeCell ref="D68:F68"/>
    <mergeCell ref="I68:J68"/>
    <mergeCell ref="K68:L68"/>
    <mergeCell ref="M68:O68"/>
    <mergeCell ref="P68:R68"/>
    <mergeCell ref="B69:C69"/>
    <mergeCell ref="I69:J69"/>
    <mergeCell ref="K69:L69"/>
    <mergeCell ref="M69:O69"/>
    <mergeCell ref="P69:R69"/>
    <mergeCell ref="B70:C70"/>
    <mergeCell ref="I70:J70"/>
    <mergeCell ref="K70:L70"/>
    <mergeCell ref="M70:O70"/>
    <mergeCell ref="P70:R70"/>
    <mergeCell ref="B71:C71"/>
    <mergeCell ref="D71:F71"/>
    <mergeCell ref="I71:J71"/>
    <mergeCell ref="K71:L71"/>
    <mergeCell ref="M71:O71"/>
    <mergeCell ref="P71:R71"/>
    <mergeCell ref="B72:C72"/>
    <mergeCell ref="I72:J72"/>
    <mergeCell ref="K72:L72"/>
    <mergeCell ref="M72:O72"/>
    <mergeCell ref="P72:R72"/>
    <mergeCell ref="B73:C73"/>
    <mergeCell ref="I73:J73"/>
    <mergeCell ref="K73:L73"/>
    <mergeCell ref="M73:O73"/>
    <mergeCell ref="P73:R73"/>
    <mergeCell ref="B74:C74"/>
    <mergeCell ref="D74:F74"/>
    <mergeCell ref="I74:J74"/>
    <mergeCell ref="K74:L74"/>
    <mergeCell ref="M74:O74"/>
    <mergeCell ref="P74:R74"/>
    <mergeCell ref="B75:C75"/>
    <mergeCell ref="I75:J75"/>
    <mergeCell ref="K75:L75"/>
    <mergeCell ref="M75:O75"/>
    <mergeCell ref="P75:R75"/>
    <mergeCell ref="B76:C76"/>
    <mergeCell ref="I76:J76"/>
    <mergeCell ref="K76:L76"/>
    <mergeCell ref="M76:O76"/>
    <mergeCell ref="P76:R76"/>
    <mergeCell ref="B77:C77"/>
    <mergeCell ref="D77:F77"/>
    <mergeCell ref="I77:J77"/>
    <mergeCell ref="K77:L77"/>
    <mergeCell ref="M77:O77"/>
    <mergeCell ref="P77:R77"/>
    <mergeCell ref="B78:C78"/>
    <mergeCell ref="I78:J78"/>
    <mergeCell ref="K78:L78"/>
    <mergeCell ref="M78:O78"/>
    <mergeCell ref="P78:R78"/>
    <mergeCell ref="B79:C79"/>
    <mergeCell ref="I79:J79"/>
    <mergeCell ref="K79:L79"/>
    <mergeCell ref="M79:O79"/>
    <mergeCell ref="P79:R79"/>
    <mergeCell ref="B80:C80"/>
    <mergeCell ref="D80:F80"/>
    <mergeCell ref="I80:J80"/>
    <mergeCell ref="K80:L80"/>
    <mergeCell ref="M80:O80"/>
    <mergeCell ref="P80:R80"/>
    <mergeCell ref="B81:C81"/>
    <mergeCell ref="I81:J81"/>
    <mergeCell ref="K81:L81"/>
    <mergeCell ref="M81:O81"/>
    <mergeCell ref="P81:R81"/>
    <mergeCell ref="B82:C82"/>
    <mergeCell ref="I82:J82"/>
    <mergeCell ref="K82:L82"/>
    <mergeCell ref="M82:O82"/>
    <mergeCell ref="P82:R82"/>
    <mergeCell ref="B83:C83"/>
    <mergeCell ref="D83:F83"/>
    <mergeCell ref="I83:J83"/>
    <mergeCell ref="K83:L83"/>
    <mergeCell ref="M83:O83"/>
    <mergeCell ref="P83:R83"/>
    <mergeCell ref="B84:C84"/>
    <mergeCell ref="I84:J84"/>
    <mergeCell ref="K84:L84"/>
    <mergeCell ref="M84:O84"/>
    <mergeCell ref="P84:R84"/>
    <mergeCell ref="B85:C85"/>
    <mergeCell ref="I85:J85"/>
    <mergeCell ref="K85:L85"/>
    <mergeCell ref="M85:O85"/>
    <mergeCell ref="P85:R85"/>
    <mergeCell ref="B86:C86"/>
    <mergeCell ref="D86:F86"/>
    <mergeCell ref="I86:J86"/>
    <mergeCell ref="K86:L86"/>
    <mergeCell ref="M86:O86"/>
    <mergeCell ref="P86:R86"/>
    <mergeCell ref="B87:C87"/>
    <mergeCell ref="I87:J87"/>
    <mergeCell ref="K87:L87"/>
    <mergeCell ref="M87:O87"/>
    <mergeCell ref="P87:R87"/>
    <mergeCell ref="B88:C88"/>
    <mergeCell ref="I88:J88"/>
    <mergeCell ref="K88:L88"/>
    <mergeCell ref="M88:O88"/>
    <mergeCell ref="P88:R88"/>
    <mergeCell ref="B89:C89"/>
    <mergeCell ref="D89:F89"/>
    <mergeCell ref="I89:J89"/>
    <mergeCell ref="K89:L89"/>
    <mergeCell ref="M89:O89"/>
    <mergeCell ref="P89:R89"/>
    <mergeCell ref="B90:C90"/>
    <mergeCell ref="I90:J90"/>
    <mergeCell ref="K90:L90"/>
    <mergeCell ref="M90:O90"/>
    <mergeCell ref="P90:R90"/>
    <mergeCell ref="B91:C91"/>
    <mergeCell ref="I91:J91"/>
    <mergeCell ref="K91:L91"/>
    <mergeCell ref="M91:O91"/>
    <mergeCell ref="P91:R91"/>
    <mergeCell ref="B92:C92"/>
    <mergeCell ref="D92:F92"/>
    <mergeCell ref="I92:J92"/>
    <mergeCell ref="K92:L92"/>
    <mergeCell ref="M92:O92"/>
    <mergeCell ref="P92:R92"/>
    <mergeCell ref="B93:C93"/>
    <mergeCell ref="I93:J93"/>
    <mergeCell ref="K93:L93"/>
    <mergeCell ref="M93:O93"/>
    <mergeCell ref="P93:R93"/>
    <mergeCell ref="B94:C94"/>
    <mergeCell ref="I94:J94"/>
    <mergeCell ref="K94:L94"/>
    <mergeCell ref="M94:O94"/>
    <mergeCell ref="P94:R94"/>
    <mergeCell ref="B95:C95"/>
    <mergeCell ref="D95:F95"/>
    <mergeCell ref="I95:J95"/>
    <mergeCell ref="K95:L95"/>
    <mergeCell ref="M95:O95"/>
    <mergeCell ref="P95:R95"/>
    <mergeCell ref="B96:C96"/>
    <mergeCell ref="I96:J96"/>
    <mergeCell ref="K96:L96"/>
    <mergeCell ref="M96:O96"/>
    <mergeCell ref="P96:R96"/>
    <mergeCell ref="B97:C97"/>
    <mergeCell ref="I97:J97"/>
    <mergeCell ref="K97:L97"/>
    <mergeCell ref="M97:O97"/>
    <mergeCell ref="P97:R97"/>
    <mergeCell ref="B98:C98"/>
    <mergeCell ref="D98:F98"/>
    <mergeCell ref="I98:J98"/>
    <mergeCell ref="K98:L98"/>
    <mergeCell ref="M98:O98"/>
    <mergeCell ref="P98:R98"/>
    <mergeCell ref="B99:C99"/>
    <mergeCell ref="I99:J99"/>
    <mergeCell ref="K99:L99"/>
    <mergeCell ref="M99:O99"/>
    <mergeCell ref="P99:R99"/>
    <mergeCell ref="B100:C100"/>
    <mergeCell ref="I100:J100"/>
    <mergeCell ref="K100:L100"/>
    <mergeCell ref="M100:O100"/>
    <mergeCell ref="P100:R100"/>
    <mergeCell ref="B101:C101"/>
    <mergeCell ref="D101:F101"/>
    <mergeCell ref="I101:J101"/>
    <mergeCell ref="K101:L101"/>
    <mergeCell ref="M101:O101"/>
    <mergeCell ref="P101:R101"/>
    <mergeCell ref="B102:C102"/>
    <mergeCell ref="I102:J102"/>
    <mergeCell ref="K102:L102"/>
    <mergeCell ref="M102:O102"/>
    <mergeCell ref="P102:R102"/>
    <mergeCell ref="B103:C103"/>
    <mergeCell ref="I103:J103"/>
    <mergeCell ref="K103:L103"/>
    <mergeCell ref="M103:O103"/>
    <mergeCell ref="P103:R103"/>
    <mergeCell ref="B104:C104"/>
    <mergeCell ref="D104:F104"/>
    <mergeCell ref="I104:J104"/>
    <mergeCell ref="K104:L104"/>
    <mergeCell ref="M104:O104"/>
    <mergeCell ref="P104:R104"/>
    <mergeCell ref="B105:C105"/>
    <mergeCell ref="I105:J105"/>
    <mergeCell ref="K105:L105"/>
    <mergeCell ref="M105:O105"/>
    <mergeCell ref="P105:R105"/>
    <mergeCell ref="B106:C106"/>
    <mergeCell ref="I106:J106"/>
    <mergeCell ref="K106:L106"/>
    <mergeCell ref="M106:O106"/>
    <mergeCell ref="P106:R106"/>
    <mergeCell ref="B107:C107"/>
    <mergeCell ref="D107:F107"/>
    <mergeCell ref="I107:J107"/>
    <mergeCell ref="K107:L107"/>
    <mergeCell ref="M107:O107"/>
    <mergeCell ref="P107:R107"/>
    <mergeCell ref="B108:C108"/>
    <mergeCell ref="I108:J108"/>
    <mergeCell ref="K108:L108"/>
    <mergeCell ref="M108:O108"/>
    <mergeCell ref="P108:R108"/>
    <mergeCell ref="B109:C109"/>
    <mergeCell ref="I109:J109"/>
    <mergeCell ref="K109:L109"/>
    <mergeCell ref="M109:O109"/>
    <mergeCell ref="P109:R109"/>
    <mergeCell ref="B110:C110"/>
    <mergeCell ref="D110:F110"/>
    <mergeCell ref="I110:J110"/>
    <mergeCell ref="K110:L110"/>
    <mergeCell ref="M110:O110"/>
    <mergeCell ref="P110:R110"/>
    <mergeCell ref="B111:C111"/>
    <mergeCell ref="I111:J111"/>
    <mergeCell ref="K111:L111"/>
    <mergeCell ref="M111:O111"/>
    <mergeCell ref="P111:R111"/>
    <mergeCell ref="B112:C112"/>
    <mergeCell ref="I112:J112"/>
    <mergeCell ref="K112:L112"/>
    <mergeCell ref="M112:O112"/>
    <mergeCell ref="P112:R112"/>
    <mergeCell ref="B113:C113"/>
    <mergeCell ref="D113:F113"/>
    <mergeCell ref="I113:J113"/>
    <mergeCell ref="K113:L113"/>
    <mergeCell ref="M113:O113"/>
    <mergeCell ref="P113:R113"/>
    <mergeCell ref="B114:C114"/>
    <mergeCell ref="I114:J114"/>
    <mergeCell ref="K114:L114"/>
    <mergeCell ref="M114:O114"/>
    <mergeCell ref="P114:R114"/>
    <mergeCell ref="B115:C115"/>
    <mergeCell ref="I115:J115"/>
    <mergeCell ref="K115:L115"/>
    <mergeCell ref="M115:O115"/>
    <mergeCell ref="P115:R115"/>
    <mergeCell ref="B116:C116"/>
    <mergeCell ref="D116:F116"/>
    <mergeCell ref="I116:J116"/>
    <mergeCell ref="K116:L116"/>
    <mergeCell ref="M116:O116"/>
    <mergeCell ref="P116:R116"/>
    <mergeCell ref="B117:C117"/>
    <mergeCell ref="I117:J117"/>
    <mergeCell ref="K117:L117"/>
    <mergeCell ref="M117:O117"/>
    <mergeCell ref="P117:R117"/>
    <mergeCell ref="B118:C118"/>
    <mergeCell ref="I118:J118"/>
    <mergeCell ref="K118:L118"/>
    <mergeCell ref="M118:O118"/>
    <mergeCell ref="P118:R118"/>
    <mergeCell ref="B119:C119"/>
    <mergeCell ref="D119:F119"/>
    <mergeCell ref="I119:J119"/>
    <mergeCell ref="K119:L119"/>
    <mergeCell ref="M119:O119"/>
    <mergeCell ref="P119:R119"/>
    <mergeCell ref="B120:C120"/>
    <mergeCell ref="I120:J120"/>
    <mergeCell ref="K120:L120"/>
    <mergeCell ref="M120:O120"/>
    <mergeCell ref="P120:R120"/>
    <mergeCell ref="B121:C121"/>
    <mergeCell ref="I121:J121"/>
    <mergeCell ref="K121:L121"/>
    <mergeCell ref="M121:O121"/>
    <mergeCell ref="P121:R121"/>
    <mergeCell ref="B122:C122"/>
    <mergeCell ref="D122:F122"/>
    <mergeCell ref="I122:J122"/>
    <mergeCell ref="K122:L122"/>
    <mergeCell ref="M122:O122"/>
    <mergeCell ref="P122:R122"/>
    <mergeCell ref="B123:C123"/>
    <mergeCell ref="I123:J123"/>
    <mergeCell ref="K123:L123"/>
    <mergeCell ref="M123:O123"/>
    <mergeCell ref="P123:R123"/>
    <mergeCell ref="B124:C124"/>
    <mergeCell ref="I124:J124"/>
    <mergeCell ref="K124:L124"/>
    <mergeCell ref="M124:O124"/>
    <mergeCell ref="P124:R124"/>
    <mergeCell ref="B125:C125"/>
    <mergeCell ref="D125:F125"/>
    <mergeCell ref="I125:J125"/>
    <mergeCell ref="K125:L125"/>
    <mergeCell ref="M125:O125"/>
    <mergeCell ref="P125:R125"/>
    <mergeCell ref="B126:C126"/>
    <mergeCell ref="I126:J126"/>
    <mergeCell ref="K126:L126"/>
    <mergeCell ref="M126:O126"/>
    <mergeCell ref="P126:R126"/>
    <mergeCell ref="B127:C127"/>
    <mergeCell ref="I127:J127"/>
    <mergeCell ref="K127:L127"/>
    <mergeCell ref="M127:O127"/>
    <mergeCell ref="P127:R127"/>
    <mergeCell ref="B128:C128"/>
    <mergeCell ref="D128:F128"/>
    <mergeCell ref="I128:J128"/>
    <mergeCell ref="K128:L128"/>
    <mergeCell ref="M128:O128"/>
    <mergeCell ref="P128:R128"/>
    <mergeCell ref="B129:C129"/>
    <mergeCell ref="I129:J129"/>
    <mergeCell ref="K129:L129"/>
    <mergeCell ref="M129:O129"/>
    <mergeCell ref="P129:R129"/>
    <mergeCell ref="B130:C130"/>
    <mergeCell ref="I130:J130"/>
    <mergeCell ref="K130:L130"/>
    <mergeCell ref="M130:O130"/>
    <mergeCell ref="P130:R130"/>
    <mergeCell ref="B131:C131"/>
    <mergeCell ref="D131:F131"/>
    <mergeCell ref="I131:J131"/>
    <mergeCell ref="K131:L131"/>
    <mergeCell ref="M131:O131"/>
    <mergeCell ref="P131:R131"/>
    <mergeCell ref="B132:C132"/>
    <mergeCell ref="I132:J132"/>
    <mergeCell ref="K132:L132"/>
    <mergeCell ref="M132:O132"/>
    <mergeCell ref="P132:R132"/>
    <mergeCell ref="B133:C133"/>
    <mergeCell ref="I133:J133"/>
    <mergeCell ref="K133:L133"/>
    <mergeCell ref="M133:O133"/>
    <mergeCell ref="P133:R133"/>
    <mergeCell ref="B134:C134"/>
    <mergeCell ref="D134:F134"/>
    <mergeCell ref="I134:J134"/>
    <mergeCell ref="K134:L134"/>
    <mergeCell ref="M134:O134"/>
    <mergeCell ref="P134:R134"/>
    <mergeCell ref="B135:C135"/>
    <mergeCell ref="I135:J135"/>
    <mergeCell ref="K135:L135"/>
    <mergeCell ref="M135:O135"/>
    <mergeCell ref="P135:R135"/>
    <mergeCell ref="B136:C136"/>
    <mergeCell ref="I136:J136"/>
    <mergeCell ref="K136:L136"/>
    <mergeCell ref="M136:O136"/>
    <mergeCell ref="P136:R136"/>
    <mergeCell ref="B137:C137"/>
    <mergeCell ref="D137:F137"/>
    <mergeCell ref="I137:J137"/>
    <mergeCell ref="K137:L137"/>
    <mergeCell ref="M137:O137"/>
    <mergeCell ref="P137:R137"/>
    <mergeCell ref="B138:C138"/>
    <mergeCell ref="I138:J138"/>
    <mergeCell ref="K138:L138"/>
    <mergeCell ref="M138:O138"/>
    <mergeCell ref="P138:R138"/>
    <mergeCell ref="B139:C139"/>
    <mergeCell ref="I139:J139"/>
    <mergeCell ref="K139:L139"/>
    <mergeCell ref="M139:O139"/>
    <mergeCell ref="P139:R139"/>
    <mergeCell ref="B140:C140"/>
    <mergeCell ref="D140:F140"/>
    <mergeCell ref="I140:J140"/>
    <mergeCell ref="K140:L140"/>
    <mergeCell ref="M140:O140"/>
    <mergeCell ref="P140:R140"/>
    <mergeCell ref="B141:C141"/>
    <mergeCell ref="I141:J141"/>
    <mergeCell ref="K141:L141"/>
    <mergeCell ref="M141:O141"/>
    <mergeCell ref="P141:R141"/>
    <mergeCell ref="B142:C142"/>
    <mergeCell ref="I142:J142"/>
    <mergeCell ref="K142:L142"/>
    <mergeCell ref="M142:O142"/>
    <mergeCell ref="P142:R142"/>
    <mergeCell ref="B143:C143"/>
    <mergeCell ref="D143:F143"/>
    <mergeCell ref="I143:J143"/>
    <mergeCell ref="K143:L143"/>
    <mergeCell ref="M143:O143"/>
    <mergeCell ref="P143:R143"/>
    <mergeCell ref="B144:C144"/>
    <mergeCell ref="I144:J144"/>
    <mergeCell ref="K144:L144"/>
    <mergeCell ref="M144:O144"/>
    <mergeCell ref="P144:R144"/>
    <mergeCell ref="B145:C145"/>
    <mergeCell ref="I145:J145"/>
    <mergeCell ref="K145:L145"/>
    <mergeCell ref="M145:O145"/>
    <mergeCell ref="P145:R145"/>
    <mergeCell ref="B146:C146"/>
    <mergeCell ref="D146:F146"/>
    <mergeCell ref="I146:J146"/>
    <mergeCell ref="K146:L146"/>
    <mergeCell ref="M146:O146"/>
    <mergeCell ref="P146:R146"/>
    <mergeCell ref="B147:C147"/>
    <mergeCell ref="I147:J147"/>
    <mergeCell ref="K147:L147"/>
    <mergeCell ref="M147:O147"/>
    <mergeCell ref="P147:R147"/>
    <mergeCell ref="B148:C148"/>
    <mergeCell ref="I148:J148"/>
    <mergeCell ref="K148:L148"/>
    <mergeCell ref="M148:O148"/>
    <mergeCell ref="P148:R148"/>
    <mergeCell ref="B149:C149"/>
    <mergeCell ref="D149:F149"/>
    <mergeCell ref="I149:J149"/>
    <mergeCell ref="K149:L149"/>
    <mergeCell ref="M149:O149"/>
    <mergeCell ref="P149:R149"/>
    <mergeCell ref="B150:C150"/>
    <mergeCell ref="I150:J150"/>
    <mergeCell ref="K150:L150"/>
    <mergeCell ref="M150:O150"/>
    <mergeCell ref="P150:R150"/>
    <mergeCell ref="B151:C151"/>
    <mergeCell ref="I151:J151"/>
    <mergeCell ref="K151:L151"/>
    <mergeCell ref="M151:O151"/>
    <mergeCell ref="P151:R151"/>
    <mergeCell ref="B152:C152"/>
    <mergeCell ref="D152:F152"/>
    <mergeCell ref="I152:J152"/>
    <mergeCell ref="K152:L152"/>
    <mergeCell ref="M152:O152"/>
    <mergeCell ref="P152:R152"/>
    <mergeCell ref="B153:C153"/>
    <mergeCell ref="I153:J153"/>
    <mergeCell ref="K153:L153"/>
    <mergeCell ref="M153:O153"/>
    <mergeCell ref="P153:R153"/>
    <mergeCell ref="B154:C154"/>
    <mergeCell ref="I154:J154"/>
    <mergeCell ref="K154:L154"/>
    <mergeCell ref="M154:O154"/>
    <mergeCell ref="P154:R154"/>
    <mergeCell ref="B155:C155"/>
    <mergeCell ref="D155:F155"/>
    <mergeCell ref="I155:J155"/>
    <mergeCell ref="K155:L155"/>
    <mergeCell ref="M155:O155"/>
    <mergeCell ref="P155:R155"/>
    <mergeCell ref="B156:C156"/>
    <mergeCell ref="I156:J156"/>
    <mergeCell ref="K156:L156"/>
    <mergeCell ref="M156:O156"/>
    <mergeCell ref="P156:R156"/>
    <mergeCell ref="B157:C157"/>
    <mergeCell ref="I157:J157"/>
    <mergeCell ref="K157:L157"/>
    <mergeCell ref="M157:O157"/>
    <mergeCell ref="P157:R157"/>
    <mergeCell ref="B158:C158"/>
    <mergeCell ref="D158:F158"/>
    <mergeCell ref="I158:J158"/>
    <mergeCell ref="K158:L158"/>
    <mergeCell ref="M158:O158"/>
    <mergeCell ref="P158:R158"/>
    <mergeCell ref="B159:C159"/>
    <mergeCell ref="I159:J159"/>
    <mergeCell ref="K159:L159"/>
    <mergeCell ref="M159:O159"/>
    <mergeCell ref="P159:R159"/>
    <mergeCell ref="B160:C160"/>
    <mergeCell ref="I160:J160"/>
    <mergeCell ref="K160:L160"/>
    <mergeCell ref="M160:O160"/>
    <mergeCell ref="P160:R160"/>
    <mergeCell ref="B161:C161"/>
    <mergeCell ref="D161:F161"/>
    <mergeCell ref="I161:J161"/>
    <mergeCell ref="K161:L161"/>
    <mergeCell ref="M161:O161"/>
    <mergeCell ref="P161:R161"/>
    <mergeCell ref="B162:C162"/>
    <mergeCell ref="I162:J162"/>
    <mergeCell ref="K162:L162"/>
    <mergeCell ref="M162:O162"/>
    <mergeCell ref="P162:R162"/>
    <mergeCell ref="B163:C163"/>
    <mergeCell ref="I163:J163"/>
    <mergeCell ref="K163:L163"/>
    <mergeCell ref="M163:O163"/>
    <mergeCell ref="P163:R163"/>
    <mergeCell ref="B164:C164"/>
    <mergeCell ref="D164:F164"/>
    <mergeCell ref="I164:J164"/>
    <mergeCell ref="K164:L164"/>
    <mergeCell ref="M164:O164"/>
    <mergeCell ref="P164:R164"/>
    <mergeCell ref="B165:C165"/>
    <mergeCell ref="I165:J165"/>
    <mergeCell ref="K165:L165"/>
    <mergeCell ref="M165:O165"/>
    <mergeCell ref="P165:R165"/>
    <mergeCell ref="B166:C166"/>
    <mergeCell ref="I166:J166"/>
    <mergeCell ref="K166:L166"/>
    <mergeCell ref="M166:O166"/>
    <mergeCell ref="P166:R166"/>
    <mergeCell ref="B167:C167"/>
    <mergeCell ref="D167:F167"/>
    <mergeCell ref="I167:J167"/>
    <mergeCell ref="K167:L167"/>
    <mergeCell ref="M167:O167"/>
    <mergeCell ref="P167:R167"/>
    <mergeCell ref="B168:C168"/>
    <mergeCell ref="I168:J168"/>
    <mergeCell ref="K168:L168"/>
    <mergeCell ref="M168:O168"/>
    <mergeCell ref="P168:R168"/>
    <mergeCell ref="B169:C169"/>
    <mergeCell ref="I169:J169"/>
    <mergeCell ref="K169:L169"/>
    <mergeCell ref="M169:O169"/>
    <mergeCell ref="P169:R169"/>
    <mergeCell ref="T20:T22"/>
    <mergeCell ref="T23:T25"/>
    <mergeCell ref="T26:T28"/>
    <mergeCell ref="T29:T31"/>
    <mergeCell ref="T32:T34"/>
    <mergeCell ref="T35:T37"/>
    <mergeCell ref="T38:T40"/>
    <mergeCell ref="T41:T43"/>
    <mergeCell ref="T44:T46"/>
    <mergeCell ref="T47:T49"/>
    <mergeCell ref="T50:T52"/>
    <mergeCell ref="T53:T55"/>
    <mergeCell ref="T56:T58"/>
    <mergeCell ref="T59:T61"/>
    <mergeCell ref="T62:T64"/>
    <mergeCell ref="T65:T67"/>
    <mergeCell ref="T68:T70"/>
    <mergeCell ref="T71:T73"/>
    <mergeCell ref="T74:T76"/>
    <mergeCell ref="T77:T79"/>
    <mergeCell ref="T80:T82"/>
    <mergeCell ref="T83:T85"/>
    <mergeCell ref="T86:T88"/>
    <mergeCell ref="T89:T91"/>
    <mergeCell ref="T92:T94"/>
    <mergeCell ref="T95:T97"/>
    <mergeCell ref="T98:T100"/>
    <mergeCell ref="T101:T103"/>
    <mergeCell ref="T104:T106"/>
    <mergeCell ref="T107:T109"/>
    <mergeCell ref="T110:T112"/>
    <mergeCell ref="T113:T115"/>
    <mergeCell ref="T116:T118"/>
    <mergeCell ref="T119:T121"/>
    <mergeCell ref="T122:T124"/>
    <mergeCell ref="T125:T127"/>
    <mergeCell ref="T128:T130"/>
    <mergeCell ref="T131:T133"/>
    <mergeCell ref="T134:T136"/>
    <mergeCell ref="T137:T139"/>
    <mergeCell ref="T140:T142"/>
    <mergeCell ref="T143:T145"/>
    <mergeCell ref="T146:T148"/>
    <mergeCell ref="T149:T151"/>
    <mergeCell ref="T152:T154"/>
    <mergeCell ref="T155:T157"/>
    <mergeCell ref="T158:T160"/>
    <mergeCell ref="T161:T163"/>
    <mergeCell ref="T164:T166"/>
    <mergeCell ref="T167:T169"/>
    <mergeCell ref="U20:U22"/>
    <mergeCell ref="U23:U25"/>
    <mergeCell ref="U26:U28"/>
    <mergeCell ref="U29:U31"/>
    <mergeCell ref="U32:U34"/>
    <mergeCell ref="U35:U37"/>
    <mergeCell ref="U38:U40"/>
    <mergeCell ref="U41:U43"/>
    <mergeCell ref="U44:U46"/>
    <mergeCell ref="U47:U49"/>
    <mergeCell ref="U50:U52"/>
    <mergeCell ref="U53:U55"/>
    <mergeCell ref="U56:U58"/>
    <mergeCell ref="U59:U61"/>
    <mergeCell ref="U62:U64"/>
    <mergeCell ref="U65:U67"/>
    <mergeCell ref="U68:U70"/>
    <mergeCell ref="U71:U73"/>
    <mergeCell ref="U74:U76"/>
    <mergeCell ref="U77:U79"/>
    <mergeCell ref="U80:U82"/>
    <mergeCell ref="U83:U85"/>
    <mergeCell ref="U86:U88"/>
    <mergeCell ref="U89:U91"/>
    <mergeCell ref="U92:U94"/>
    <mergeCell ref="U95:U97"/>
    <mergeCell ref="U98:U100"/>
    <mergeCell ref="U101:U103"/>
    <mergeCell ref="U104:U106"/>
    <mergeCell ref="U107:U109"/>
    <mergeCell ref="U110:U112"/>
    <mergeCell ref="U113:U115"/>
    <mergeCell ref="U116:U118"/>
    <mergeCell ref="U119:U121"/>
    <mergeCell ref="U122:U124"/>
    <mergeCell ref="U125:U127"/>
    <mergeCell ref="U128:U130"/>
    <mergeCell ref="U131:U133"/>
    <mergeCell ref="U134:U136"/>
    <mergeCell ref="U137:U139"/>
    <mergeCell ref="U140:U142"/>
    <mergeCell ref="U143:U145"/>
    <mergeCell ref="U146:U148"/>
    <mergeCell ref="U149:U151"/>
    <mergeCell ref="U152:U154"/>
    <mergeCell ref="U155:U157"/>
    <mergeCell ref="U158:U160"/>
    <mergeCell ref="U161:U163"/>
    <mergeCell ref="U164:U166"/>
    <mergeCell ref="U167:U169"/>
    <mergeCell ref="V20:V22"/>
    <mergeCell ref="V23:V25"/>
    <mergeCell ref="V26:V28"/>
    <mergeCell ref="V29:V31"/>
    <mergeCell ref="V32:V34"/>
    <mergeCell ref="V35:V37"/>
    <mergeCell ref="V38:V40"/>
    <mergeCell ref="V41:V43"/>
    <mergeCell ref="V44:V46"/>
    <mergeCell ref="V47:V49"/>
    <mergeCell ref="V50:V52"/>
    <mergeCell ref="V53:V55"/>
    <mergeCell ref="V56:V58"/>
    <mergeCell ref="V59:V61"/>
    <mergeCell ref="V62:V64"/>
    <mergeCell ref="V65:V67"/>
    <mergeCell ref="V68:V70"/>
    <mergeCell ref="V71:V73"/>
    <mergeCell ref="V74:V76"/>
    <mergeCell ref="V77:V79"/>
    <mergeCell ref="V80:V82"/>
    <mergeCell ref="V83:V85"/>
    <mergeCell ref="V86:V88"/>
    <mergeCell ref="V89:V91"/>
    <mergeCell ref="V92:V94"/>
    <mergeCell ref="V95:V97"/>
    <mergeCell ref="V98:V100"/>
    <mergeCell ref="V101:V103"/>
    <mergeCell ref="V104:V106"/>
    <mergeCell ref="V107:V109"/>
    <mergeCell ref="V110:V112"/>
    <mergeCell ref="V113:V115"/>
    <mergeCell ref="V116:V118"/>
    <mergeCell ref="V119:V121"/>
    <mergeCell ref="V122:V124"/>
    <mergeCell ref="V125:V127"/>
    <mergeCell ref="V128:V130"/>
    <mergeCell ref="V131:V133"/>
    <mergeCell ref="V134:V136"/>
    <mergeCell ref="V137:V139"/>
    <mergeCell ref="V140:V142"/>
    <mergeCell ref="V143:V145"/>
    <mergeCell ref="V146:V148"/>
    <mergeCell ref="V149:V151"/>
    <mergeCell ref="V152:V154"/>
    <mergeCell ref="V155:V157"/>
    <mergeCell ref="V158:V160"/>
    <mergeCell ref="V161:V163"/>
    <mergeCell ref="V164:V166"/>
    <mergeCell ref="V167:V169"/>
    <mergeCell ref="D45:F46"/>
    <mergeCell ref="D48:F49"/>
    <mergeCell ref="D51:F52"/>
    <mergeCell ref="D54:F55"/>
    <mergeCell ref="D57:F58"/>
    <mergeCell ref="D60:F61"/>
    <mergeCell ref="D21:F22"/>
    <mergeCell ref="D24:F25"/>
    <mergeCell ref="D27:F28"/>
    <mergeCell ref="D30:F31"/>
    <mergeCell ref="D33:F34"/>
    <mergeCell ref="D36:F37"/>
    <mergeCell ref="D39:F40"/>
    <mergeCell ref="D42:F43"/>
    <mergeCell ref="D99:F100"/>
    <mergeCell ref="D102:F103"/>
    <mergeCell ref="D105:F106"/>
    <mergeCell ref="D108:F109"/>
    <mergeCell ref="D111:F112"/>
    <mergeCell ref="D114:F115"/>
    <mergeCell ref="D81:F82"/>
    <mergeCell ref="D84:F85"/>
    <mergeCell ref="D87:F88"/>
    <mergeCell ref="D90:F91"/>
    <mergeCell ref="D93:F94"/>
    <mergeCell ref="D96:F97"/>
    <mergeCell ref="D63:F64"/>
    <mergeCell ref="D66:F67"/>
    <mergeCell ref="D69:F70"/>
    <mergeCell ref="D72:F73"/>
    <mergeCell ref="D75:F76"/>
    <mergeCell ref="D78:F79"/>
    <mergeCell ref="D153:F154"/>
    <mergeCell ref="D156:F157"/>
    <mergeCell ref="D159:F160"/>
    <mergeCell ref="D162:F163"/>
    <mergeCell ref="D165:F166"/>
    <mergeCell ref="D168:F169"/>
    <mergeCell ref="D135:F136"/>
    <mergeCell ref="D138:F139"/>
    <mergeCell ref="D141:F142"/>
    <mergeCell ref="D144:F145"/>
    <mergeCell ref="D147:F148"/>
    <mergeCell ref="D150:F151"/>
    <mergeCell ref="D117:F118"/>
    <mergeCell ref="D120:F121"/>
    <mergeCell ref="D123:F124"/>
    <mergeCell ref="D126:F127"/>
    <mergeCell ref="D129:F130"/>
    <mergeCell ref="D132:F133"/>
  </mergeCells>
  <hyperlinks>
    <hyperlink ref="U16" r:id="rId4"/>
    <hyperlink ref="U15" r:id="rId4"/>
    <hyperlink ref="W15" r:id="rId4" display="https://e-service.shciq.gov.cn/shesp/" tooltip="https://e-service.shciq.gov.cn/shesp/"/>
    <hyperlink ref="W16" r:id="rId5" display="http://www.hscode.net/IntegrateQueries/QueryYS/"/>
  </hyperlinks>
  <pageMargins left="0.159027777777778" right="0.0388888888888889" top="0.159027777777778" bottom="0.0791666666666667" header="0.0791666666666667" footer="0.11875"/>
  <pageSetup paperSize="9" scale="89" fitToHeight="0" orientation="landscape"/>
  <headerFooter alignWithMargins="0" scaleWithDoc="0"/>
  <rowBreaks count="4" manualBreakCount="4">
    <brk id="43" max="18" man="1"/>
    <brk id="85" max="18" man="1"/>
    <brk id="127" max="18" man="1"/>
    <brk id="169" max="18"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7"/>
  <sheetViews>
    <sheetView showZeros="0" view="pageBreakPreview" zoomScaleNormal="100" workbookViewId="0">
      <selection activeCell="D10" sqref="D10"/>
    </sheetView>
  </sheetViews>
  <sheetFormatPr defaultColWidth="9" defaultRowHeight="14.25"/>
  <cols>
    <col min="1" max="1" width="9" style="237"/>
    <col min="2" max="2" width="12.25" style="237" customWidth="1"/>
    <col min="3" max="3" width="14" style="237" customWidth="1"/>
    <col min="4" max="4" width="9.75" style="237" customWidth="1"/>
    <col min="5" max="5" width="10.625" style="237" customWidth="1"/>
    <col min="6" max="6" width="10.125" style="237" customWidth="1"/>
    <col min="7" max="7" width="10.375" style="238" customWidth="1"/>
    <col min="8" max="8" width="13.875" style="237" customWidth="1"/>
    <col min="9" max="9" width="69.25" style="237" customWidth="1"/>
    <col min="10" max="16384" width="9" style="239"/>
  </cols>
  <sheetData>
    <row r="1" s="235" customFormat="1" spans="1:9">
      <c r="A1" s="240" t="s">
        <v>207</v>
      </c>
      <c r="G1" s="241"/>
    </row>
    <row r="2" s="235" customFormat="1" spans="1:9">
      <c r="A2" s="242" t="s">
        <v>208</v>
      </c>
      <c r="G2" s="241"/>
    </row>
    <row r="3" s="235" customFormat="1" spans="1:9">
      <c r="A3" s="243" t="s">
        <v>209</v>
      </c>
      <c r="G3" s="241"/>
    </row>
    <row r="4" s="235" customFormat="1" spans="1:9">
      <c r="B4" s="244"/>
      <c r="C4" s="244" t="s">
        <v>180</v>
      </c>
      <c r="G4" s="241"/>
    </row>
    <row r="5" s="235" customFormat="1" spans="1:9">
      <c r="A5" s="235" t="s">
        <v>210</v>
      </c>
      <c r="B5" s="244"/>
      <c r="C5" s="244" t="s">
        <v>183</v>
      </c>
      <c r="G5" s="241"/>
    </row>
    <row r="6" s="235" customFormat="1" spans="1:9">
      <c r="G6" s="241"/>
    </row>
    <row r="8" ht="25.5" spans="1:9">
      <c r="A8" s="245" t="s">
        <v>211</v>
      </c>
      <c r="B8" s="245"/>
      <c r="C8" s="245"/>
      <c r="D8" s="245"/>
      <c r="E8" s="245"/>
      <c r="F8" s="245"/>
      <c r="G8" s="246"/>
      <c r="H8" s="245"/>
      <c r="I8" s="245"/>
    </row>
    <row r="9" s="236" customFormat="1" ht="12" spans="1:9">
      <c r="A9" s="247" t="s">
        <v>212</v>
      </c>
      <c r="B9" s="247" t="s">
        <v>213</v>
      </c>
      <c r="C9" s="247" t="s">
        <v>214</v>
      </c>
      <c r="D9" s="247" t="s">
        <v>215</v>
      </c>
      <c r="E9" s="247" t="s">
        <v>216</v>
      </c>
      <c r="F9" s="247" t="s">
        <v>217</v>
      </c>
      <c r="G9" s="248" t="s">
        <v>93</v>
      </c>
      <c r="H9" s="247" t="s">
        <v>95</v>
      </c>
      <c r="I9" s="247" t="s">
        <v>218</v>
      </c>
    </row>
    <row r="10" spans="1:9">
      <c r="A10" s="249">
        <v>1</v>
      </c>
      <c r="B10" s="249"/>
      <c r="C10" s="249"/>
      <c r="D10" s="249"/>
      <c r="E10" s="249"/>
      <c r="F10" s="249"/>
      <c r="G10" s="250" t="s">
        <v>219</v>
      </c>
      <c r="H10" s="251" t="s">
        <v>220</v>
      </c>
      <c r="I10" s="249"/>
    </row>
    <row r="11" spans="1:9">
      <c r="A11" s="249">
        <v>2</v>
      </c>
      <c r="B11" s="249"/>
      <c r="C11" s="249"/>
      <c r="D11" s="249"/>
      <c r="E11" s="249"/>
      <c r="F11" s="249"/>
      <c r="G11" s="250" t="s">
        <v>221</v>
      </c>
      <c r="H11" s="251" t="s">
        <v>222</v>
      </c>
      <c r="I11" s="249"/>
    </row>
    <row r="12" spans="1:9">
      <c r="A12" s="249">
        <v>3</v>
      </c>
      <c r="B12" s="249"/>
      <c r="C12" s="249"/>
      <c r="D12" s="249"/>
      <c r="E12" s="249"/>
      <c r="F12" s="249"/>
      <c r="G12" s="250" t="s">
        <v>223</v>
      </c>
      <c r="H12" s="251" t="s">
        <v>224</v>
      </c>
      <c r="I12" s="249"/>
    </row>
    <row r="13" spans="1:9">
      <c r="A13" s="249">
        <v>4</v>
      </c>
      <c r="B13" s="249"/>
      <c r="C13" s="249"/>
      <c r="D13" s="249"/>
      <c r="E13" s="249"/>
      <c r="F13" s="249"/>
      <c r="G13" s="250" t="s">
        <v>225</v>
      </c>
      <c r="H13" s="249"/>
      <c r="I13" s="249"/>
    </row>
    <row r="14" spans="1:9">
      <c r="A14" s="249">
        <v>5</v>
      </c>
      <c r="B14" s="249"/>
      <c r="C14" s="249"/>
      <c r="D14" s="249"/>
      <c r="E14" s="249"/>
      <c r="F14" s="249"/>
      <c r="G14" s="250" t="s">
        <v>226</v>
      </c>
      <c r="H14" s="249"/>
      <c r="I14" s="249"/>
    </row>
    <row r="15" spans="1:9">
      <c r="A15" s="249">
        <v>6</v>
      </c>
      <c r="B15" s="249"/>
      <c r="C15" s="249"/>
      <c r="D15" s="249"/>
      <c r="E15" s="249"/>
      <c r="F15" s="249"/>
      <c r="G15" s="252"/>
      <c r="H15" s="249"/>
      <c r="I15" s="249"/>
    </row>
    <row r="16" spans="1:9">
      <c r="A16" s="249">
        <v>7</v>
      </c>
      <c r="B16" s="249"/>
      <c r="C16" s="249"/>
      <c r="D16" s="249"/>
      <c r="E16" s="249"/>
      <c r="F16" s="249"/>
      <c r="G16" s="252"/>
      <c r="H16" s="249"/>
      <c r="I16" s="249"/>
    </row>
    <row r="17" spans="1:9">
      <c r="A17" s="249">
        <v>8</v>
      </c>
      <c r="B17" s="249"/>
      <c r="C17" s="249"/>
      <c r="D17" s="249"/>
      <c r="E17" s="249"/>
      <c r="F17" s="249"/>
      <c r="G17" s="252"/>
      <c r="H17" s="249"/>
      <c r="I17" s="249"/>
    </row>
  </sheetData>
  <mergeCells count="1">
    <mergeCell ref="A8:I8"/>
  </mergeCells>
  <hyperlinks>
    <hyperlink ref="B4" r:id="rId2"/>
    <hyperlink ref="C5" r:id="rId3" display="http://www.hscode.net/IntegrateQueries/QueryYS/"/>
    <hyperlink ref="C4" r:id="rId2" display="https://e-service.shciq.gov.cn/shesp/"/>
  </hyperlinks>
  <pageMargins left="0.388888888888889" right="0.388888888888889" top="0.429166666666667" bottom="1" header="0.238888888888889" footer="0.509027777777778"/>
  <pageSetup paperSize="9" scale="82" orientation="landscape"/>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showZeros="0" view="pageBreakPreview" zoomScaleNormal="100" topLeftCell="A4" workbookViewId="0">
      <selection activeCell="E12" sqref="E12"/>
    </sheetView>
  </sheetViews>
  <sheetFormatPr defaultColWidth="9" defaultRowHeight="14.25"/>
  <cols>
    <col min="1" max="1" width="3.75" customWidth="1"/>
    <col min="2" max="2" width="12.375" customWidth="1"/>
    <col min="3" max="3" width="30.75" customWidth="1"/>
    <col min="4" max="4" width="8.875" customWidth="1"/>
    <col min="5" max="5" width="4.25" customWidth="1"/>
    <col min="6" max="6" width="12.25" customWidth="1"/>
    <col min="7" max="7" width="4.5" customWidth="1"/>
    <col min="8" max="8" width="13" customWidth="1"/>
    <col min="9" max="9" width="0.625" hidden="1" customWidth="1"/>
  </cols>
  <sheetData>
    <row r="1" ht="72" customHeight="1" spans="1:10">
      <c r="A1" s="69" t="s">
        <v>227</v>
      </c>
      <c r="B1" s="69"/>
      <c r="C1" s="69"/>
      <c r="D1" s="69"/>
      <c r="E1" s="69"/>
      <c r="F1" s="69"/>
      <c r="G1" s="69"/>
      <c r="H1" s="69"/>
      <c r="J1" s="6"/>
    </row>
    <row r="2" ht="26.1" customHeight="1" spans="1:10">
      <c r="A2" s="70"/>
      <c r="B2" s="70"/>
      <c r="C2" s="70"/>
      <c r="D2" s="70"/>
      <c r="E2" s="70"/>
      <c r="F2" s="72" t="s">
        <v>228</v>
      </c>
      <c r="G2" s="210" t="str">
        <f>报关单!A10</f>
        <v>SY070315151589</v>
      </c>
      <c r="H2" s="210"/>
    </row>
    <row r="3" ht="33.95" customHeight="1" spans="1:10">
      <c r="A3" s="164" t="s">
        <v>229</v>
      </c>
      <c r="B3" s="164"/>
      <c r="C3" s="171" t="str">
        <f>报关单!A6</f>
        <v>GOODS-LUCK INT'L LOGISTICS(HK) CO.,LTD</v>
      </c>
      <c r="D3" s="171"/>
      <c r="E3" s="152"/>
      <c r="F3" s="211" t="s">
        <v>230</v>
      </c>
      <c r="G3" s="212">
        <f ca="1">TODAY()-1</f>
        <v>46030</v>
      </c>
      <c r="H3" s="213"/>
    </row>
    <row r="4" ht="15.75" customHeight="1" spans="1:10">
      <c r="A4" s="214"/>
      <c r="B4" s="215"/>
      <c r="C4" s="146"/>
      <c r="D4" s="146"/>
      <c r="E4" s="152"/>
      <c r="F4" s="146"/>
      <c r="G4" s="146"/>
      <c r="H4" s="146"/>
    </row>
    <row r="5" ht="6" customHeight="1" spans="1:10">
      <c r="A5" s="152"/>
      <c r="B5" s="146"/>
      <c r="C5" s="146"/>
      <c r="D5" s="152"/>
      <c r="E5" s="152"/>
      <c r="F5" s="152"/>
      <c r="G5" s="152"/>
      <c r="H5" s="152"/>
    </row>
    <row r="6" ht="18" customHeight="1" spans="1:10">
      <c r="A6" s="152"/>
      <c r="B6" s="146"/>
      <c r="C6" s="146"/>
      <c r="D6" s="152"/>
      <c r="E6" s="152"/>
      <c r="F6" s="154" t="s">
        <v>231</v>
      </c>
      <c r="G6" s="152" t="str">
        <f>报关单!V4</f>
        <v>FOB</v>
      </c>
      <c r="H6" s="152" t="str">
        <f>报关单!W4</f>
        <v>SHENZHEN</v>
      </c>
    </row>
    <row r="7" ht="30" customHeight="1" spans="1:10">
      <c r="A7" s="187" t="s">
        <v>232</v>
      </c>
      <c r="B7" s="216"/>
      <c r="C7" s="187" t="s">
        <v>233</v>
      </c>
      <c r="D7" s="187" t="s">
        <v>234</v>
      </c>
      <c r="E7" s="187"/>
      <c r="F7" s="187" t="s">
        <v>235</v>
      </c>
      <c r="G7" s="187" t="s">
        <v>236</v>
      </c>
      <c r="H7" s="187"/>
    </row>
    <row r="8" ht="30" customHeight="1" spans="1:10">
      <c r="A8" s="217" t="s">
        <v>237</v>
      </c>
      <c r="B8" s="218"/>
      <c r="C8" s="219" t="str">
        <f ca="1">OFFSET(报关单!$D$1,ROW(报关单!D1)*3+16,0)</f>
        <v>移动电源</v>
      </c>
      <c r="D8" s="219">
        <f ca="1">OFFSET(报关单!$G$1,ROW(报关单!G1)*3+18,0)</f>
        <v>580</v>
      </c>
      <c r="E8" s="220" t="str">
        <f ca="1">OFFSET(报关单!$H$1,ROW(报关单!H1)*3+18,0)</f>
        <v>个</v>
      </c>
      <c r="F8" s="221">
        <f ca="1">IFERROR(H8/D8,0)</f>
        <v>10</v>
      </c>
      <c r="G8" s="222" t="str">
        <f ca="1">OFFSET(报关单!$I$1,ROW(报关单!I1)*3+18,0)</f>
        <v>美元</v>
      </c>
      <c r="H8" s="221">
        <f ca="1">OFFSET(报关单!$I$1,ROW(报关单!I1)*3+17,0)</f>
        <v>5800</v>
      </c>
      <c r="I8" s="223"/>
    </row>
    <row r="9" ht="30" customHeight="1" spans="1:10">
      <c r="A9" s="217"/>
      <c r="B9" s="218"/>
      <c r="C9" s="219">
        <f ca="1">OFFSET(报关单!$D$1,ROW(报关单!D2)*3+16,0)</f>
        <v>0</v>
      </c>
      <c r="D9" s="219">
        <f ca="1">OFFSET(报关单!$G$1,ROW(报关单!G2)*3+18,0)</f>
        <v>0</v>
      </c>
      <c r="E9" s="220">
        <f ca="1">OFFSET(报关单!$H$1,ROW(报关单!H2)*3+18,0)</f>
        <v>0</v>
      </c>
      <c r="F9" s="221">
        <f ca="1" t="shared" ref="F9:F23" si="0">IFERROR(H9/D9,0)</f>
        <v>0</v>
      </c>
      <c r="G9" s="222">
        <f ca="1">OFFSET(报关单!$I$1,ROW(报关单!I2)*3+18,0)</f>
        <v>0</v>
      </c>
      <c r="H9" s="221">
        <f ca="1">OFFSET(报关单!$I$1,ROW(报关单!I2)*3+17,0)</f>
        <v>0</v>
      </c>
    </row>
    <row r="10" ht="30" customHeight="1" spans="1:10">
      <c r="A10" s="217"/>
      <c r="B10" s="218"/>
      <c r="C10" s="219">
        <f ca="1">OFFSET(报关单!$D$1,ROW(报关单!D3)*3+16,0)</f>
        <v>0</v>
      </c>
      <c r="D10" s="219">
        <f ca="1">OFFSET(报关单!$G$1,ROW(报关单!G3)*3+18,0)</f>
        <v>0</v>
      </c>
      <c r="E10" s="220">
        <f ca="1">OFFSET(报关单!$H$1,ROW(报关单!H3)*3+18,0)</f>
        <v>0</v>
      </c>
      <c r="F10" s="221">
        <f ca="1" t="shared" si="0"/>
        <v>0</v>
      </c>
      <c r="G10" s="222">
        <f ca="1">OFFSET(报关单!$I$1,ROW(报关单!I3)*3+18,0)</f>
        <v>0</v>
      </c>
      <c r="H10" s="221">
        <f ca="1">OFFSET(报关单!$I$1,ROW(报关单!I3)*3+17,0)</f>
        <v>0</v>
      </c>
    </row>
    <row r="11" ht="30" customHeight="1" spans="1:10">
      <c r="A11" s="217"/>
      <c r="B11" s="218"/>
      <c r="C11" s="219">
        <f ca="1">OFFSET(报关单!$D$1,ROW(报关单!D4)*3+16,0)</f>
        <v>0</v>
      </c>
      <c r="D11" s="219">
        <f ca="1">OFFSET(报关单!$G$1,ROW(报关单!G4)*3+18,0)</f>
        <v>0</v>
      </c>
      <c r="E11" s="220">
        <f ca="1">OFFSET(报关单!$H$1,ROW(报关单!H4)*3+18,0)</f>
        <v>0</v>
      </c>
      <c r="F11" s="221">
        <f ca="1" t="shared" si="0"/>
        <v>0</v>
      </c>
      <c r="G11" s="222">
        <f ca="1">OFFSET(报关单!$I$1,ROW(报关单!I4)*3+18,0)</f>
        <v>0</v>
      </c>
      <c r="H11" s="221">
        <f ca="1">OFFSET(报关单!$I$1,ROW(报关单!I4)*3+17,0)</f>
        <v>0</v>
      </c>
    </row>
    <row r="12" ht="30" customHeight="1" spans="1:10">
      <c r="A12" s="217"/>
      <c r="B12" s="218"/>
      <c r="C12" s="219">
        <f ca="1">OFFSET(报关单!$D$1,ROW(报关单!D5)*3+16,0)</f>
        <v>0</v>
      </c>
      <c r="D12" s="219">
        <f ca="1">OFFSET(报关单!$G$1,ROW(报关单!G5)*3+18,0)</f>
        <v>0</v>
      </c>
      <c r="E12" s="220">
        <f ca="1">OFFSET(报关单!$H$1,ROW(报关单!H5)*3+18,0)</f>
        <v>0</v>
      </c>
      <c r="F12" s="221">
        <f ca="1" t="shared" si="0"/>
        <v>0</v>
      </c>
      <c r="G12" s="222">
        <f ca="1">OFFSET(报关单!$I$1,ROW(报关单!I5)*3+18,0)</f>
        <v>0</v>
      </c>
      <c r="H12" s="221">
        <f ca="1">OFFSET(报关单!$I$1,ROW(报关单!I5)*3+17,0)</f>
        <v>0</v>
      </c>
    </row>
    <row r="13" ht="30" customHeight="1" spans="1:10">
      <c r="A13" s="217"/>
      <c r="B13" s="218"/>
      <c r="C13" s="219">
        <f ca="1">OFFSET(报关单!$D$1,ROW(报关单!D6)*3+16,0)</f>
        <v>0</v>
      </c>
      <c r="D13" s="219">
        <f ca="1">OFFSET(报关单!$G$1,ROW(报关单!G6)*3+18,0)</f>
        <v>0</v>
      </c>
      <c r="E13" s="220">
        <f ca="1">OFFSET(报关单!$H$1,ROW(报关单!H6)*3+18,0)</f>
        <v>0</v>
      </c>
      <c r="F13" s="221">
        <f ca="1" t="shared" si="0"/>
        <v>0</v>
      </c>
      <c r="G13" s="222">
        <f ca="1">OFFSET(报关单!$I$1,ROW(报关单!I6)*3+18,0)</f>
        <v>0</v>
      </c>
      <c r="H13" s="221">
        <f ca="1">OFFSET(报关单!$I$1,ROW(报关单!I6)*3+17,0)</f>
        <v>0</v>
      </c>
    </row>
    <row r="14" ht="30" customHeight="1" spans="1:10">
      <c r="A14" s="217"/>
      <c r="B14" s="218"/>
      <c r="C14" s="219">
        <f ca="1">OFFSET(报关单!$D$1,ROW(报关单!D7)*3+16,0)</f>
        <v>0</v>
      </c>
      <c r="D14" s="219">
        <f ca="1">OFFSET(报关单!$G$1,ROW(报关单!G7)*3+18,0)</f>
        <v>0</v>
      </c>
      <c r="E14" s="220">
        <f ca="1">OFFSET(报关单!$H$1,ROW(报关单!H7)*3+18,0)</f>
        <v>0</v>
      </c>
      <c r="F14" s="221">
        <f ca="1" t="shared" si="0"/>
        <v>0</v>
      </c>
      <c r="G14" s="222">
        <f ca="1">OFFSET(报关单!$I$1,ROW(报关单!I7)*3+18,0)</f>
        <v>0</v>
      </c>
      <c r="H14" s="221">
        <f ca="1">OFFSET(报关单!$I$1,ROW(报关单!I7)*3+17,0)</f>
        <v>0</v>
      </c>
    </row>
    <row r="15" ht="30" customHeight="1" spans="1:10">
      <c r="A15" s="217"/>
      <c r="B15" s="218"/>
      <c r="C15" s="219">
        <f ca="1">OFFSET(报关单!$D$1,ROW(报关单!D8)*3+16,0)</f>
        <v>0</v>
      </c>
      <c r="D15" s="219">
        <f ca="1">OFFSET(报关单!$G$1,ROW(报关单!G8)*3+18,0)</f>
        <v>0</v>
      </c>
      <c r="E15" s="220">
        <f ca="1">OFFSET(报关单!$H$1,ROW(报关单!H8)*3+18,0)</f>
        <v>0</v>
      </c>
      <c r="F15" s="221">
        <f ca="1" t="shared" si="0"/>
        <v>0</v>
      </c>
      <c r="G15" s="222">
        <f ca="1">OFFSET(报关单!$I$1,ROW(报关单!I8)*3+18,0)</f>
        <v>0</v>
      </c>
      <c r="H15" s="221">
        <f ca="1">OFFSET(报关单!$I$1,ROW(报关单!I8)*3+17,0)</f>
        <v>0</v>
      </c>
    </row>
    <row r="16" ht="30" customHeight="1" spans="1:10">
      <c r="A16" s="217"/>
      <c r="B16" s="218"/>
      <c r="C16" s="219">
        <f ca="1">OFFSET(报关单!$D$1,ROW(报关单!D9)*3+16,0)</f>
        <v>0</v>
      </c>
      <c r="D16" s="219">
        <f ca="1">OFFSET(报关单!$G$1,ROW(报关单!G9)*3+18,0)</f>
        <v>0</v>
      </c>
      <c r="E16" s="220">
        <f ca="1">OFFSET(报关单!$H$1,ROW(报关单!H9)*3+18,0)</f>
        <v>0</v>
      </c>
      <c r="F16" s="221">
        <f ca="1" t="shared" si="0"/>
        <v>0</v>
      </c>
      <c r="G16" s="222">
        <f ca="1">OFFSET(报关单!$I$1,ROW(报关单!I9)*3+18,0)</f>
        <v>0</v>
      </c>
      <c r="H16" s="221">
        <f ca="1">OFFSET(报关单!$I$1,ROW(报关单!I9)*3+17,0)</f>
        <v>0</v>
      </c>
    </row>
    <row r="17" ht="30" customHeight="1" spans="1:8">
      <c r="A17" s="217"/>
      <c r="B17" s="218"/>
      <c r="C17" s="219">
        <f ca="1">OFFSET(报关单!$D$1,ROW(报关单!D10)*3+16,0)</f>
        <v>0</v>
      </c>
      <c r="D17" s="219">
        <f ca="1">OFFSET(报关单!$G$1,ROW(报关单!G10)*3+18,0)</f>
        <v>0</v>
      </c>
      <c r="E17" s="220">
        <f ca="1">OFFSET(报关单!$H$1,ROW(报关单!H10)*3+18,0)</f>
        <v>0</v>
      </c>
      <c r="F17" s="221">
        <f ca="1" t="shared" si="0"/>
        <v>0</v>
      </c>
      <c r="G17" s="222">
        <f ca="1">OFFSET(报关单!$I$1,ROW(报关单!I10)*3+18,0)</f>
        <v>0</v>
      </c>
      <c r="H17" s="221">
        <f ca="1">OFFSET(报关单!$I$1,ROW(报关单!I10)*3+17,0)</f>
        <v>0</v>
      </c>
    </row>
    <row r="18" ht="30" customHeight="1" spans="1:8">
      <c r="A18" s="217"/>
      <c r="B18" s="218"/>
      <c r="C18" s="219">
        <f ca="1">OFFSET(报关单!$D$1,ROW(报关单!D11)*3+16,0)</f>
        <v>0</v>
      </c>
      <c r="D18" s="219">
        <f ca="1">OFFSET(报关单!$G$1,ROW(报关单!G11)*3+18,0)</f>
        <v>0</v>
      </c>
      <c r="E18" s="220">
        <f ca="1">OFFSET(报关单!$H$1,ROW(报关单!H11)*3+18,0)</f>
        <v>0</v>
      </c>
      <c r="F18" s="221">
        <f ca="1" t="shared" si="0"/>
        <v>0</v>
      </c>
      <c r="G18" s="222">
        <f ca="1">OFFSET(报关单!$I$1,ROW(报关单!I11)*3+18,0)</f>
        <v>0</v>
      </c>
      <c r="H18" s="221">
        <f ca="1">OFFSET(报关单!$I$1,ROW(报关单!I11)*3+17,0)</f>
        <v>0</v>
      </c>
    </row>
    <row r="19" ht="30" customHeight="1" spans="1:8">
      <c r="A19" s="217"/>
      <c r="B19" s="218"/>
      <c r="C19" s="219">
        <f ca="1">OFFSET(报关单!$D$1,ROW(报关单!D12)*3+16,0)</f>
        <v>0</v>
      </c>
      <c r="D19" s="219">
        <f ca="1">OFFSET(报关单!$G$1,ROW(报关单!G12)*3+18,0)</f>
        <v>0</v>
      </c>
      <c r="E19" s="220">
        <f ca="1">OFFSET(报关单!$H$1,ROW(报关单!H12)*3+18,0)</f>
        <v>0</v>
      </c>
      <c r="F19" s="221">
        <f ca="1" t="shared" si="0"/>
        <v>0</v>
      </c>
      <c r="G19" s="222">
        <f ca="1">OFFSET(报关单!$I$1,ROW(报关单!I12)*3+18,0)</f>
        <v>0</v>
      </c>
      <c r="H19" s="221">
        <f ca="1">OFFSET(报关单!$I$1,ROW(报关单!I12)*3+17,0)</f>
        <v>0</v>
      </c>
    </row>
    <row r="20" ht="30" customHeight="1" spans="1:8">
      <c r="A20" s="217"/>
      <c r="B20" s="218"/>
      <c r="C20" s="219">
        <f ca="1">OFFSET(报关单!$D$1,ROW(报关单!D13)*3+16,0)</f>
        <v>0</v>
      </c>
      <c r="D20" s="219">
        <f ca="1">OFFSET(报关单!$G$1,ROW(报关单!G13)*3+18,0)</f>
        <v>0</v>
      </c>
      <c r="E20" s="220">
        <f ca="1">OFFSET(报关单!$H$1,ROW(报关单!H13)*3+18,0)</f>
        <v>0</v>
      </c>
      <c r="F20" s="221">
        <f ca="1" t="shared" si="0"/>
        <v>0</v>
      </c>
      <c r="G20" s="222">
        <f ca="1">OFFSET(报关单!$I$1,ROW(报关单!I13)*3+18,0)</f>
        <v>0</v>
      </c>
      <c r="H20" s="221">
        <f ca="1">OFFSET(报关单!$I$1,ROW(报关单!I13)*3+17,0)</f>
        <v>0</v>
      </c>
    </row>
    <row r="21" ht="30" customHeight="1" spans="1:8">
      <c r="A21" s="217"/>
      <c r="B21" s="218"/>
      <c r="C21" s="219">
        <f ca="1">OFFSET(报关单!$D$1,ROW(报关单!D14)*3+16,0)</f>
        <v>0</v>
      </c>
      <c r="D21" s="219">
        <f ca="1">OFFSET(报关单!$G$1,ROW(报关单!G14)*3+18,0)</f>
        <v>0</v>
      </c>
      <c r="E21" s="220">
        <f ca="1">OFFSET(报关单!$H$1,ROW(报关单!H14)*3+18,0)</f>
        <v>0</v>
      </c>
      <c r="F21" s="221">
        <f ca="1" t="shared" si="0"/>
        <v>0</v>
      </c>
      <c r="G21" s="222">
        <f ca="1">OFFSET(报关单!$I$1,ROW(报关单!I14)*3+18,0)</f>
        <v>0</v>
      </c>
      <c r="H21" s="221">
        <f ca="1">OFFSET(报关单!$I$1,ROW(报关单!I14)*3+17,0)</f>
        <v>0</v>
      </c>
    </row>
    <row r="22" ht="30" customHeight="1" spans="1:8">
      <c r="A22" s="217"/>
      <c r="B22" s="218"/>
      <c r="C22" s="219">
        <f ca="1">OFFSET(报关单!$D$1,ROW(报关单!D15)*3+16,0)</f>
        <v>0</v>
      </c>
      <c r="D22" s="219">
        <f ca="1">OFFSET(报关单!$G$1,ROW(报关单!G15)*3+18,0)</f>
        <v>0</v>
      </c>
      <c r="E22" s="220">
        <f ca="1">OFFSET(报关单!$H$1,ROW(报关单!H15)*3+18,0)</f>
        <v>0</v>
      </c>
      <c r="F22" s="221">
        <f ca="1" t="shared" si="0"/>
        <v>0</v>
      </c>
      <c r="G22" s="222">
        <f ca="1">OFFSET(报关单!$I$1,ROW(报关单!I15)*3+18,0)</f>
        <v>0</v>
      </c>
      <c r="H22" s="221">
        <f ca="1">OFFSET(报关单!$I$1,ROW(报关单!I15)*3+17,0)</f>
        <v>0</v>
      </c>
    </row>
    <row r="23" ht="30" customHeight="1" spans="1:8">
      <c r="A23" s="224"/>
      <c r="B23" s="218"/>
      <c r="C23" s="219">
        <f ca="1">OFFSET(报关单!$D$1,ROW(报关单!D16)*3+16,0)</f>
        <v>0</v>
      </c>
      <c r="D23" s="219">
        <f ca="1">OFFSET(报关单!$G$1,ROW(报关单!G16)*3+18,0)</f>
        <v>0</v>
      </c>
      <c r="E23" s="220">
        <f ca="1">OFFSET(报关单!$H$1,ROW(报关单!H16)*3+18,0)</f>
        <v>0</v>
      </c>
      <c r="F23" s="221">
        <f ca="1" t="shared" si="0"/>
        <v>0</v>
      </c>
      <c r="G23" s="222">
        <f ca="1">OFFSET(报关单!$I$1,ROW(报关单!I16)*3+18,0)</f>
        <v>0</v>
      </c>
      <c r="H23" s="221">
        <f ca="1">OFFSET(报关单!$I$1,ROW(报关单!I16)*3+17,0)</f>
        <v>0</v>
      </c>
    </row>
    <row r="24" ht="25.5" customHeight="1" spans="1:8">
      <c r="A24" s="225" t="str">
        <f ca="1">IF(G24="CNY","总计人民币:",IF(G24="USD","总计美元: ","  "))</f>
        <v>  </v>
      </c>
      <c r="B24" s="225"/>
      <c r="C24" s="226">
        <f ca="1">H24</f>
        <v>5800</v>
      </c>
      <c r="D24" s="226"/>
      <c r="E24" s="226"/>
      <c r="F24" s="227" t="s">
        <v>238</v>
      </c>
      <c r="G24" s="228" t="str">
        <f ca="1">G8</f>
        <v>美元</v>
      </c>
      <c r="H24" s="229">
        <f ca="1">SUM(H8:H23)</f>
        <v>5800</v>
      </c>
    </row>
    <row r="25" spans="1:8">
      <c r="A25" s="230" t="s">
        <v>239</v>
      </c>
      <c r="B25" s="231"/>
      <c r="C25" s="232"/>
      <c r="D25" s="150"/>
      <c r="E25" s="150"/>
      <c r="F25" s="233" t="s">
        <v>181</v>
      </c>
      <c r="G25" s="233"/>
      <c r="H25" s="233"/>
    </row>
    <row r="26" spans="1:8">
      <c r="A26" s="231"/>
      <c r="B26" s="231"/>
      <c r="C26" s="232"/>
      <c r="D26" s="150"/>
      <c r="E26" s="150"/>
      <c r="F26" s="233"/>
      <c r="G26" s="233"/>
      <c r="H26" s="233"/>
    </row>
    <row r="27" ht="18.95" customHeight="1" spans="1:8">
      <c r="A27" s="231"/>
      <c r="B27" s="231"/>
      <c r="C27" s="150"/>
      <c r="D27" s="150" t="str">
        <f>报关单!A4</f>
        <v>深圳市*****有限公司</v>
      </c>
      <c r="E27" s="150"/>
      <c r="F27" s="150"/>
      <c r="G27" s="150"/>
      <c r="H27" s="150"/>
    </row>
    <row r="28" spans="1:8">
      <c r="A28" s="234"/>
      <c r="B28" s="152"/>
      <c r="C28" s="152"/>
      <c r="D28" s="152"/>
      <c r="E28" s="152"/>
      <c r="F28" s="152"/>
      <c r="G28" s="152"/>
      <c r="H28" s="152"/>
    </row>
    <row r="29" spans="1:8">
      <c r="A29" s="234"/>
      <c r="B29" s="152"/>
      <c r="C29" s="152"/>
      <c r="D29" s="152"/>
      <c r="E29" s="152"/>
      <c r="F29" s="152"/>
      <c r="G29" s="152"/>
      <c r="H29" s="152"/>
    </row>
    <row r="30" spans="1:8">
      <c r="A30" s="234"/>
      <c r="B30" s="152"/>
      <c r="C30" s="152"/>
      <c r="D30" s="152"/>
      <c r="E30" s="152"/>
      <c r="F30" s="152"/>
      <c r="G30" s="152"/>
      <c r="H30" s="152"/>
    </row>
    <row r="31" spans="1:8">
      <c r="A31" s="234"/>
      <c r="B31" s="234"/>
      <c r="C31" s="234" t="s">
        <v>240</v>
      </c>
      <c r="D31" s="234"/>
      <c r="E31" s="234"/>
      <c r="F31" s="234"/>
      <c r="G31" s="234"/>
      <c r="H31" s="234"/>
    </row>
    <row r="32" spans="1:8">
      <c r="A32" s="234"/>
      <c r="B32" s="234"/>
      <c r="C32" s="234"/>
      <c r="D32" s="234"/>
      <c r="E32" s="234"/>
      <c r="F32" s="234"/>
      <c r="G32" s="234"/>
      <c r="H32" s="234"/>
    </row>
    <row r="33" spans="1:8">
      <c r="A33" s="234"/>
      <c r="B33" s="234"/>
      <c r="C33" s="234"/>
      <c r="D33" s="234"/>
      <c r="E33" s="234"/>
      <c r="F33" s="234"/>
      <c r="G33" s="234"/>
      <c r="H33" s="234"/>
    </row>
    <row r="37" ht="3.75" customHeight="1"/>
  </sheetData>
  <mergeCells count="17">
    <mergeCell ref="A1:H1"/>
    <mergeCell ref="G2:H2"/>
    <mergeCell ref="A3:B3"/>
    <mergeCell ref="C3:D3"/>
    <mergeCell ref="G3:H3"/>
    <mergeCell ref="C4:D4"/>
    <mergeCell ref="F4:H4"/>
    <mergeCell ref="B5:C5"/>
    <mergeCell ref="A7:B7"/>
    <mergeCell ref="D7:E7"/>
    <mergeCell ref="G7:H7"/>
    <mergeCell ref="A24:B24"/>
    <mergeCell ref="C24:E24"/>
    <mergeCell ref="C25:C26"/>
    <mergeCell ref="A8:B23"/>
    <mergeCell ref="A25:B27"/>
    <mergeCell ref="F25:H26"/>
  </mergeCells>
  <pageMargins left="0.309027777777778" right="0.2" top="0.349305555555556" bottom="0.238888888888889" header="0.238888888888889" footer="0.0791666666666667"/>
  <pageSetup paperSize="9" orientation="portrait"/>
  <headerFooter alignWithMargins="0" scaleWithDoc="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showZeros="0" view="pageBreakPreview" zoomScaleNormal="100" workbookViewId="0">
      <selection activeCell="G5" sqref="G5"/>
    </sheetView>
  </sheetViews>
  <sheetFormatPr defaultColWidth="9" defaultRowHeight="15.75"/>
  <cols>
    <col min="1" max="1" width="11.5" style="68" customWidth="1"/>
    <col min="2" max="2" width="23" style="68" customWidth="1"/>
    <col min="3" max="3" width="12.25" style="68" customWidth="1"/>
    <col min="4" max="4" width="8.625" style="88" customWidth="1"/>
    <col min="5" max="5" width="4.125" style="160" customWidth="1"/>
    <col min="6" max="6" width="13.5" style="68" customWidth="1"/>
    <col min="7" max="7" width="18.125" style="68" customWidth="1"/>
    <col min="8" max="16384" width="9" style="68"/>
  </cols>
  <sheetData>
    <row r="1" ht="12.95" customHeight="1"/>
    <row r="2" ht="18.95" customHeight="1" spans="1:9">
      <c r="B2" s="161" t="s">
        <v>241</v>
      </c>
      <c r="C2" s="161"/>
      <c r="D2" s="161"/>
      <c r="E2" s="162"/>
    </row>
    <row r="3" ht="33" customHeight="1" spans="1:9">
      <c r="A3" s="163"/>
      <c r="B3" s="161"/>
      <c r="C3" s="161"/>
      <c r="D3" s="161"/>
      <c r="E3" s="162"/>
      <c r="F3" s="164" t="s">
        <v>242</v>
      </c>
      <c r="G3" s="165">
        <f ca="1">TODAY()-1</f>
        <v>46030</v>
      </c>
    </row>
    <row r="4" ht="30" customHeight="1" spans="1:9">
      <c r="A4" s="145"/>
      <c r="B4" s="166"/>
      <c r="C4" s="167"/>
      <c r="D4" s="89"/>
      <c r="E4" s="168"/>
      <c r="F4" s="169" t="s">
        <v>243</v>
      </c>
      <c r="G4" s="170" t="str">
        <f>发票!G2</f>
        <v>SY070315151589</v>
      </c>
    </row>
    <row r="5" ht="29.25" customHeight="1" spans="1:9">
      <c r="A5" s="164" t="s">
        <v>244</v>
      </c>
      <c r="B5" s="171" t="str">
        <f>发票!C3</f>
        <v>GOODS-LUCK INT'L LOGISTICS(HK) CO.,LTD</v>
      </c>
      <c r="C5" s="171"/>
      <c r="D5" s="171"/>
      <c r="E5" s="171"/>
      <c r="F5" s="169" t="s">
        <v>245</v>
      </c>
      <c r="G5" s="172" t="str">
        <f>发票!G2</f>
        <v>SY070315151589</v>
      </c>
    </row>
    <row r="6" ht="11.1" customHeight="1" spans="1:9">
      <c r="A6" s="173"/>
      <c r="B6" s="174"/>
      <c r="C6" s="174" t="s">
        <v>246</v>
      </c>
      <c r="D6" s="175"/>
      <c r="E6" s="176"/>
      <c r="F6" s="177"/>
      <c r="G6" s="178"/>
      <c r="I6" s="88"/>
    </row>
    <row r="7" ht="31.5" spans="1:9">
      <c r="A7" s="179" t="s">
        <v>247</v>
      </c>
      <c r="B7" s="180"/>
      <c r="C7" s="181" t="s">
        <v>248</v>
      </c>
      <c r="D7" s="175" t="str">
        <f>报关单!M20</f>
        <v>香港</v>
      </c>
      <c r="E7" s="156"/>
      <c r="F7" s="182" t="s">
        <v>249</v>
      </c>
      <c r="G7" s="183" t="str">
        <f>报关单!Y4</f>
        <v>电汇</v>
      </c>
      <c r="H7" s="67"/>
    </row>
    <row r="8" ht="3.95" customHeight="1" spans="1:9">
      <c r="A8" s="179"/>
      <c r="B8" s="184"/>
      <c r="C8" s="181"/>
      <c r="D8" s="175"/>
      <c r="E8" s="156"/>
      <c r="F8" s="182"/>
      <c r="G8" s="185"/>
      <c r="H8" s="67"/>
    </row>
    <row r="9" s="67" customFormat="1" ht="30" customHeight="1" spans="1:9">
      <c r="A9" s="186" t="s">
        <v>250</v>
      </c>
      <c r="B9" s="187" t="s">
        <v>251</v>
      </c>
      <c r="C9" s="188" t="s">
        <v>252</v>
      </c>
      <c r="D9" s="187" t="s">
        <v>253</v>
      </c>
      <c r="E9" s="189"/>
      <c r="F9" s="190" t="s">
        <v>254</v>
      </c>
      <c r="G9" s="187" t="s">
        <v>255</v>
      </c>
    </row>
    <row r="10" s="158" customFormat="1" ht="30" customHeight="1" spans="1:9">
      <c r="A10" s="191" t="str">
        <f>发票!A8</f>
        <v>
N/M</v>
      </c>
      <c r="B10" s="192" t="str">
        <f ca="1">发票!C8</f>
        <v>移动电源</v>
      </c>
      <c r="C10" s="193">
        <f ca="1">OFFSET(报关单!$V$1,ROW(报关单!V1)*3+16,0)</f>
        <v>20</v>
      </c>
      <c r="D10" s="194">
        <f ca="1">发票!D8</f>
        <v>580</v>
      </c>
      <c r="E10" s="195" t="str">
        <f ca="1">发票!E8</f>
        <v>个</v>
      </c>
      <c r="F10" s="119">
        <f ca="1">OFFSET(报关单!$U$1,ROW(报关单!U1)*3+16,0)</f>
        <v>300</v>
      </c>
      <c r="G10" s="193">
        <f ca="1">OFFSET(报关单!$T$1,ROW(报关单!T1)*3+16,0)</f>
        <v>250</v>
      </c>
      <c r="H10" s="196"/>
    </row>
    <row r="11" s="158" customFormat="1" ht="30" customHeight="1" spans="1:9">
      <c r="A11" s="191"/>
      <c r="B11" s="192">
        <f ca="1">发票!C9</f>
        <v>0</v>
      </c>
      <c r="C11" s="193">
        <f ca="1">OFFSET(报关单!$V$1,ROW(报关单!V2)*3+16,0)</f>
        <v>0</v>
      </c>
      <c r="D11" s="194">
        <f ca="1">发票!D9</f>
        <v>0</v>
      </c>
      <c r="E11" s="195">
        <f ca="1">发票!E9</f>
        <v>0</v>
      </c>
      <c r="F11" s="197">
        <f ca="1">OFFSET(报关单!$U$1,ROW(报关单!U2)*3+16,0)</f>
        <v>0</v>
      </c>
      <c r="G11" s="193">
        <f ca="1">OFFSET(报关单!$T$1,ROW(报关单!T2)*3+16,0)</f>
        <v>0</v>
      </c>
      <c r="H11" s="196"/>
    </row>
    <row r="12" s="158" customFormat="1" ht="30" customHeight="1" spans="1:9">
      <c r="A12" s="191"/>
      <c r="B12" s="192">
        <f ca="1">发票!C10</f>
        <v>0</v>
      </c>
      <c r="C12" s="193">
        <f ca="1">OFFSET(报关单!$V$1,ROW(报关单!V3)*3+16,0)</f>
        <v>0</v>
      </c>
      <c r="D12" s="194">
        <f ca="1">发票!D10</f>
        <v>0</v>
      </c>
      <c r="E12" s="195">
        <f ca="1">发票!E10</f>
        <v>0</v>
      </c>
      <c r="F12" s="197">
        <f ca="1">OFFSET(报关单!$U$1,ROW(报关单!U3)*3+16,0)</f>
        <v>0</v>
      </c>
      <c r="G12" s="193">
        <f ca="1">OFFSET(报关单!$T$1,ROW(报关单!T3)*3+16,0)</f>
        <v>0</v>
      </c>
      <c r="H12" s="196"/>
    </row>
    <row r="13" s="158" customFormat="1" ht="30" customHeight="1" spans="1:9">
      <c r="A13" s="191"/>
      <c r="B13" s="198">
        <f ca="1">发票!C11</f>
        <v>0</v>
      </c>
      <c r="C13" s="193">
        <f ca="1">OFFSET(报关单!$V$1,ROW(报关单!V4)*3+16,0)</f>
        <v>0</v>
      </c>
      <c r="D13" s="194">
        <f ca="1">发票!D11</f>
        <v>0</v>
      </c>
      <c r="E13" s="195">
        <f ca="1">发票!E11</f>
        <v>0</v>
      </c>
      <c r="F13" s="197">
        <f ca="1">OFFSET(报关单!$U$1,ROW(报关单!U4)*3+16,0)</f>
        <v>0</v>
      </c>
      <c r="G13" s="193">
        <f ca="1">OFFSET(报关单!$T$1,ROW(报关单!T4)*3+16,0)</f>
        <v>0</v>
      </c>
      <c r="H13" s="196"/>
    </row>
    <row r="14" s="158" customFormat="1" ht="30" customHeight="1" spans="1:9">
      <c r="A14" s="191"/>
      <c r="B14" s="192">
        <f ca="1">发票!C12</f>
        <v>0</v>
      </c>
      <c r="C14" s="193">
        <f ca="1">OFFSET(报关单!$V$1,ROW(报关单!V5)*3+16,0)</f>
        <v>0</v>
      </c>
      <c r="D14" s="194">
        <f ca="1">发票!D12</f>
        <v>0</v>
      </c>
      <c r="E14" s="195">
        <f ca="1">发票!E12</f>
        <v>0</v>
      </c>
      <c r="F14" s="197">
        <f ca="1">OFFSET(报关单!$U$1,ROW(报关单!U5)*3+16,0)</f>
        <v>0</v>
      </c>
      <c r="G14" s="193">
        <f ca="1">OFFSET(报关单!$T$1,ROW(报关单!T5)*3+16,0)</f>
        <v>0</v>
      </c>
      <c r="H14" s="196"/>
    </row>
    <row r="15" s="158" customFormat="1" ht="30" customHeight="1" spans="1:9">
      <c r="A15" s="191"/>
      <c r="B15" s="192">
        <f ca="1">发票!C13</f>
        <v>0</v>
      </c>
      <c r="C15" s="193">
        <f ca="1">OFFSET(报关单!$V$1,ROW(报关单!V6)*3+16,0)</f>
        <v>0</v>
      </c>
      <c r="D15" s="194">
        <f ca="1">发票!D13</f>
        <v>0</v>
      </c>
      <c r="E15" s="195">
        <f ca="1">发票!E13</f>
        <v>0</v>
      </c>
      <c r="F15" s="197">
        <f ca="1">OFFSET(报关单!$U$1,ROW(报关单!U6)*3+16,0)</f>
        <v>0</v>
      </c>
      <c r="G15" s="193">
        <f ca="1">OFFSET(报关单!$T$1,ROW(报关单!T6)*3+16,0)</f>
        <v>0</v>
      </c>
      <c r="H15" s="196"/>
    </row>
    <row r="16" s="158" customFormat="1" ht="30" customHeight="1" spans="1:9">
      <c r="A16" s="191"/>
      <c r="B16" s="192">
        <f ca="1">发票!C14</f>
        <v>0</v>
      </c>
      <c r="C16" s="193">
        <f ca="1">OFFSET(报关单!$V$1,ROW(报关单!V7)*3+16,0)</f>
        <v>0</v>
      </c>
      <c r="D16" s="194">
        <f ca="1">发票!D14</f>
        <v>0</v>
      </c>
      <c r="E16" s="195">
        <f ca="1">发票!E14</f>
        <v>0</v>
      </c>
      <c r="F16" s="197">
        <f ca="1">OFFSET(报关单!$U$1,ROW(报关单!U7)*3+16,0)</f>
        <v>0</v>
      </c>
      <c r="G16" s="193">
        <f ca="1">OFFSET(报关单!$T$1,ROW(报关单!T7)*3+16,0)</f>
        <v>0</v>
      </c>
      <c r="H16" s="196"/>
    </row>
    <row r="17" s="158" customFormat="1" ht="30" customHeight="1" spans="1:8">
      <c r="A17" s="191"/>
      <c r="B17" s="192">
        <f ca="1">发票!C15</f>
        <v>0</v>
      </c>
      <c r="C17" s="193">
        <f ca="1">OFFSET(报关单!$V$1,ROW(报关单!V8)*3+16,0)</f>
        <v>0</v>
      </c>
      <c r="D17" s="194">
        <f ca="1">发票!D15</f>
        <v>0</v>
      </c>
      <c r="E17" s="195">
        <f ca="1">发票!E15</f>
        <v>0</v>
      </c>
      <c r="F17" s="197">
        <f ca="1">OFFSET(报关单!$U$1,ROW(报关单!U8)*3+16,0)</f>
        <v>0</v>
      </c>
      <c r="G17" s="193">
        <f ca="1">OFFSET(报关单!$T$1,ROW(报关单!T8)*3+16,0)</f>
        <v>0</v>
      </c>
      <c r="H17" s="196"/>
    </row>
    <row r="18" s="158" customFormat="1" ht="30" customHeight="1" spans="1:8">
      <c r="A18" s="191"/>
      <c r="B18" s="192">
        <f ca="1">发票!C16</f>
        <v>0</v>
      </c>
      <c r="C18" s="193">
        <f ca="1">OFFSET(报关单!$V$1,ROW(报关单!V9)*3+16,0)</f>
        <v>0</v>
      </c>
      <c r="D18" s="194">
        <f ca="1">发票!D16</f>
        <v>0</v>
      </c>
      <c r="E18" s="195">
        <f ca="1">发票!E16</f>
        <v>0</v>
      </c>
      <c r="F18" s="197">
        <f ca="1">OFFSET(报关单!$U$1,ROW(报关单!U9)*3+16,0)</f>
        <v>0</v>
      </c>
      <c r="G18" s="193">
        <f ca="1">OFFSET(报关单!$T$1,ROW(报关单!T9)*3+16,0)</f>
        <v>0</v>
      </c>
      <c r="H18" s="196"/>
    </row>
    <row r="19" s="158" customFormat="1" ht="30" customHeight="1" spans="1:8">
      <c r="A19" s="191"/>
      <c r="B19" s="192">
        <f ca="1">发票!C17</f>
        <v>0</v>
      </c>
      <c r="C19" s="193">
        <f ca="1">OFFSET(报关单!$V$1,ROW(报关单!V10)*3+16,0)</f>
        <v>0</v>
      </c>
      <c r="D19" s="194">
        <f ca="1">发票!D17</f>
        <v>0</v>
      </c>
      <c r="E19" s="195">
        <f ca="1">发票!E17</f>
        <v>0</v>
      </c>
      <c r="F19" s="197">
        <f ca="1">OFFSET(报关单!$U$1,ROW(报关单!U10)*3+16,0)</f>
        <v>0</v>
      </c>
      <c r="G19" s="193">
        <f ca="1">OFFSET(报关单!$T$1,ROW(报关单!T10)*3+16,0)</f>
        <v>0</v>
      </c>
      <c r="H19" s="196"/>
    </row>
    <row r="20" s="158" customFormat="1" ht="30" customHeight="1" spans="1:8">
      <c r="A20" s="191"/>
      <c r="B20" s="192">
        <f ca="1">发票!C18</f>
        <v>0</v>
      </c>
      <c r="C20" s="193">
        <f ca="1">OFFSET(报关单!$V$1,ROW(报关单!V11)*3+16,0)</f>
        <v>0</v>
      </c>
      <c r="D20" s="194">
        <f ca="1">发票!D18</f>
        <v>0</v>
      </c>
      <c r="E20" s="195">
        <f ca="1">发票!E18</f>
        <v>0</v>
      </c>
      <c r="F20" s="197">
        <f ca="1">OFFSET(报关单!$U$1,ROW(报关单!U11)*3+16,0)</f>
        <v>0</v>
      </c>
      <c r="G20" s="193">
        <f ca="1">OFFSET(报关单!$T$1,ROW(报关单!T11)*3+16,0)</f>
        <v>0</v>
      </c>
      <c r="H20" s="196"/>
    </row>
    <row r="21" s="158" customFormat="1" ht="30" customHeight="1" spans="1:8">
      <c r="A21" s="191"/>
      <c r="B21" s="192">
        <f ca="1">发票!C19</f>
        <v>0</v>
      </c>
      <c r="C21" s="193">
        <f ca="1">OFFSET(报关单!$V$1,ROW(报关单!V12)*3+16,0)</f>
        <v>0</v>
      </c>
      <c r="D21" s="194">
        <f ca="1">发票!D19</f>
        <v>0</v>
      </c>
      <c r="E21" s="195">
        <f ca="1">发票!E19</f>
        <v>0</v>
      </c>
      <c r="F21" s="197">
        <f ca="1">OFFSET(报关单!$U$1,ROW(报关单!U12)*3+16,0)</f>
        <v>0</v>
      </c>
      <c r="G21" s="193">
        <f ca="1">OFFSET(报关单!$T$1,ROW(报关单!T12)*3+16,0)</f>
        <v>0</v>
      </c>
      <c r="H21" s="196"/>
    </row>
    <row r="22" s="158" customFormat="1" ht="30" customHeight="1" spans="1:8">
      <c r="A22" s="191"/>
      <c r="B22" s="192">
        <f ca="1">发票!C20</f>
        <v>0</v>
      </c>
      <c r="C22" s="193">
        <f ca="1">OFFSET(报关单!$V$1,ROW(报关单!V13)*3+16,0)</f>
        <v>0</v>
      </c>
      <c r="D22" s="194">
        <f ca="1">发票!D20</f>
        <v>0</v>
      </c>
      <c r="E22" s="195">
        <f ca="1">发票!E20</f>
        <v>0</v>
      </c>
      <c r="F22" s="197">
        <f ca="1">OFFSET(报关单!$U$1,ROW(报关单!T13)*3+16,0)</f>
        <v>0</v>
      </c>
      <c r="G22" s="193">
        <f ca="1">OFFSET(报关单!$T$1,ROW(报关单!T13)*3+16,0)</f>
        <v>0</v>
      </c>
      <c r="H22" s="196"/>
    </row>
    <row r="23" s="158" customFormat="1" ht="30" customHeight="1" spans="1:8">
      <c r="A23" s="191"/>
      <c r="B23" s="192">
        <f ca="1">发票!C21</f>
        <v>0</v>
      </c>
      <c r="C23" s="193">
        <f ca="1">OFFSET(报关单!$V$1,ROW(报关单!V14)*3+16,0)</f>
        <v>0</v>
      </c>
      <c r="D23" s="194">
        <f ca="1">发票!D21</f>
        <v>0</v>
      </c>
      <c r="E23" s="195">
        <f ca="1">发票!E21</f>
        <v>0</v>
      </c>
      <c r="F23" s="197">
        <f ca="1">OFFSET(报关单!$U$1,ROW(报关单!T14)*3+16,0)</f>
        <v>0</v>
      </c>
      <c r="G23" s="193">
        <f ca="1">OFFSET(报关单!$T$1,ROW(报关单!T14)*3+16,0)</f>
        <v>0</v>
      </c>
      <c r="H23" s="196"/>
    </row>
    <row r="24" s="158" customFormat="1" ht="30" customHeight="1" spans="1:8">
      <c r="A24" s="191"/>
      <c r="B24" s="192">
        <f ca="1">发票!C22</f>
        <v>0</v>
      </c>
      <c r="C24" s="193">
        <f ca="1">OFFSET(报关单!$V$1,ROW(报关单!T15)*3+16,0)</f>
        <v>0</v>
      </c>
      <c r="D24" s="194">
        <f ca="1">发票!D22</f>
        <v>0</v>
      </c>
      <c r="E24" s="195">
        <f ca="1">发票!E22</f>
        <v>0</v>
      </c>
      <c r="F24" s="197">
        <f ca="1">OFFSET(报关单!$U$1,ROW(报关单!T15)*3+16,0)</f>
        <v>0</v>
      </c>
      <c r="G24" s="193">
        <f ca="1">OFFSET(报关单!$T$1,ROW(报关单!T15)*3+16,0)</f>
        <v>0</v>
      </c>
      <c r="H24" s="196"/>
    </row>
    <row r="25" ht="30" customHeight="1" spans="1:8">
      <c r="A25" s="199"/>
      <c r="B25" s="192">
        <f ca="1">发票!C23</f>
        <v>0</v>
      </c>
      <c r="C25" s="193">
        <f ca="1">OFFSET(报关单!$V$1,ROW(报关单!T16)*3+16,0)</f>
        <v>0</v>
      </c>
      <c r="D25" s="194">
        <f ca="1">发票!D23</f>
        <v>0</v>
      </c>
      <c r="E25" s="195">
        <f ca="1">发票!E23</f>
        <v>0</v>
      </c>
      <c r="F25" s="197">
        <f ca="1">OFFSET(报关单!$U$1,ROW(报关单!T16)*3+16,0)</f>
        <v>0</v>
      </c>
      <c r="G25" s="193">
        <f ca="1">OFFSET(报关单!$T$1,ROW(报关单!T16)*3+16,0)</f>
        <v>0</v>
      </c>
      <c r="H25" s="67"/>
    </row>
    <row r="26" s="67" customFormat="1" ht="29.1" customHeight="1" spans="1:8">
      <c r="A26" s="200" t="s">
        <v>256</v>
      </c>
      <c r="B26" s="201"/>
      <c r="C26" s="202">
        <f ca="1">SUM(C10:C25)</f>
        <v>20</v>
      </c>
      <c r="D26" s="203"/>
      <c r="E26" s="204"/>
      <c r="F26" s="205">
        <f ca="1">SUM(F10:F25)</f>
        <v>300</v>
      </c>
      <c r="G26" s="202">
        <f ca="1">SUM(G10:G25)</f>
        <v>250</v>
      </c>
    </row>
    <row r="27" ht="18.95" customHeight="1" spans="1:8">
      <c r="A27" s="206" t="s">
        <v>239</v>
      </c>
      <c r="B27" s="207" t="str">
        <f>报关单!A4</f>
        <v>深圳市*****有限公司</v>
      </c>
      <c r="C27" s="208"/>
      <c r="D27" s="208"/>
      <c r="E27" s="208"/>
      <c r="F27" s="208"/>
      <c r="G27" s="208"/>
      <c r="H27" s="67"/>
    </row>
    <row r="28" ht="18.95" customHeight="1" spans="1:8">
      <c r="A28" s="206"/>
      <c r="B28" s="209"/>
      <c r="C28" s="209"/>
      <c r="D28" s="209"/>
      <c r="E28" s="209"/>
      <c r="F28" s="209"/>
      <c r="G28" s="209"/>
      <c r="H28" s="67"/>
    </row>
    <row r="29" spans="1:8">
      <c r="A29" s="158"/>
      <c r="B29" s="158"/>
      <c r="C29" s="158"/>
      <c r="D29" s="151"/>
      <c r="E29" s="157"/>
      <c r="F29" s="158"/>
      <c r="G29" s="158"/>
      <c r="H29" s="67"/>
    </row>
    <row r="30" spans="1:8">
      <c r="A30" s="158"/>
      <c r="B30" s="158"/>
      <c r="C30" s="158"/>
      <c r="D30" s="74"/>
      <c r="E30" s="157"/>
      <c r="F30" s="158"/>
      <c r="G30" s="158"/>
      <c r="H30" s="67"/>
    </row>
    <row r="31" spans="1:8">
      <c r="A31" s="158"/>
      <c r="B31" s="158"/>
      <c r="C31" s="158"/>
      <c r="D31" s="74"/>
      <c r="E31" s="157"/>
      <c r="F31" s="158"/>
      <c r="G31" s="158"/>
      <c r="H31" s="67"/>
    </row>
    <row r="32" spans="1:8">
      <c r="A32" s="158"/>
      <c r="B32" s="158"/>
      <c r="C32" s="158"/>
      <c r="D32" s="74"/>
      <c r="E32" s="157"/>
      <c r="F32" s="158"/>
      <c r="G32" s="158"/>
    </row>
    <row r="33" spans="1:7">
      <c r="A33" s="158"/>
      <c r="B33" s="158"/>
      <c r="C33" s="158"/>
      <c r="D33" s="74"/>
      <c r="E33" s="157"/>
      <c r="F33" s="158"/>
      <c r="G33" s="158"/>
    </row>
    <row r="34" spans="1:7">
      <c r="A34" s="158"/>
      <c r="B34" s="158"/>
      <c r="C34" s="158"/>
      <c r="D34" s="74"/>
      <c r="E34" s="157"/>
      <c r="F34" s="158"/>
      <c r="G34" s="158"/>
    </row>
    <row r="35" spans="1:7">
      <c r="A35" s="158"/>
      <c r="B35" s="158"/>
      <c r="C35" s="158"/>
      <c r="D35" s="74"/>
      <c r="E35" s="157"/>
      <c r="F35" s="158"/>
      <c r="G35" s="158"/>
    </row>
    <row r="36" spans="1:7">
      <c r="A36" s="158"/>
      <c r="B36" s="158"/>
      <c r="C36" s="158"/>
      <c r="D36" s="74"/>
      <c r="E36" s="157"/>
      <c r="F36" s="158"/>
      <c r="G36" s="158"/>
    </row>
    <row r="37" spans="1:7">
      <c r="A37" s="158"/>
      <c r="B37" s="158"/>
      <c r="C37" s="158"/>
      <c r="D37" s="74"/>
      <c r="E37" s="157"/>
      <c r="F37" s="158"/>
      <c r="G37" s="158"/>
    </row>
    <row r="38" spans="1:7">
      <c r="A38" s="158"/>
      <c r="B38" s="158"/>
      <c r="C38" s="158"/>
      <c r="D38" s="74"/>
      <c r="E38" s="157"/>
      <c r="F38" s="158"/>
      <c r="G38" s="158"/>
    </row>
    <row r="39" spans="1:7">
      <c r="A39" s="158"/>
      <c r="B39" s="158"/>
      <c r="C39" s="158"/>
      <c r="D39" s="74"/>
      <c r="E39" s="157"/>
      <c r="F39" s="158"/>
      <c r="G39" s="158"/>
    </row>
  </sheetData>
  <mergeCells count="8">
    <mergeCell ref="B5:E5"/>
    <mergeCell ref="D6:E6"/>
    <mergeCell ref="D7:E7"/>
    <mergeCell ref="D9:E9"/>
    <mergeCell ref="A10:A25"/>
    <mergeCell ref="A27:A28"/>
    <mergeCell ref="B2:E3"/>
    <mergeCell ref="B27:G28"/>
  </mergeCells>
  <pageMargins left="0.2" right="0.159027777777778" top="0.238888888888889" bottom="0.2" header="0.2" footer="0.0791666666666667"/>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62"/>
  <sheetViews>
    <sheetView showZeros="0" view="pageBreakPreview" zoomScaleNormal="100" topLeftCell="A7" workbookViewId="0">
      <selection activeCell="B24" sqref="B24:C24"/>
    </sheetView>
  </sheetViews>
  <sheetFormatPr defaultColWidth="9" defaultRowHeight="15.75"/>
  <cols>
    <col min="1" max="1" width="3.5" customWidth="1"/>
    <col min="2" max="2" width="16.5" style="68" customWidth="1"/>
    <col min="3" max="3" width="14.25" style="68" customWidth="1"/>
    <col min="4" max="4" width="12.5" style="68" customWidth="1"/>
    <col min="5" max="5" width="14" style="68" customWidth="1"/>
    <col min="6" max="6" width="12.875" style="68" customWidth="1"/>
    <col min="7" max="7" width="5.875" style="68" customWidth="1"/>
    <col min="8" max="8" width="12.75" style="68" customWidth="1"/>
    <col min="9" max="9" width="1.5" style="68" customWidth="1"/>
    <col min="10" max="10" width="6.25" style="68" customWidth="1"/>
    <col min="11" max="16384" width="9" style="68"/>
  </cols>
  <sheetData>
    <row r="1" ht="57" customHeight="1" spans="2:10">
      <c r="B1" s="69" t="s">
        <v>257</v>
      </c>
      <c r="C1" s="70"/>
      <c r="D1" s="70"/>
      <c r="E1" s="70"/>
      <c r="F1" s="70"/>
      <c r="G1" s="70"/>
      <c r="H1" s="70"/>
      <c r="I1" s="70"/>
    </row>
    <row r="2" ht="12" customHeight="1" spans="2:10">
      <c r="B2" s="71" t="s">
        <v>258</v>
      </c>
      <c r="C2" s="72" t="str">
        <f>报关单!A4</f>
        <v>深圳市*****有限公司</v>
      </c>
      <c r="D2" s="72"/>
      <c r="E2" s="72"/>
      <c r="F2" s="73"/>
      <c r="G2" s="71"/>
      <c r="H2" s="74"/>
      <c r="I2" s="74"/>
    </row>
    <row r="3" ht="9.95" customHeight="1" spans="2:10">
      <c r="B3" s="75" t="s">
        <v>259</v>
      </c>
      <c r="C3" s="76"/>
      <c r="D3" s="76"/>
      <c r="E3" s="76"/>
      <c r="F3" s="77"/>
      <c r="G3" s="78"/>
      <c r="H3" s="78"/>
      <c r="I3" s="78"/>
    </row>
    <row r="4" ht="11.1" customHeight="1" spans="2:10">
      <c r="B4" s="79" t="s">
        <v>260</v>
      </c>
      <c r="C4" s="80">
        <f>报关单!V6</f>
        <v>0</v>
      </c>
      <c r="D4" s="81"/>
      <c r="E4" s="81"/>
      <c r="F4" s="82"/>
      <c r="G4" s="83"/>
      <c r="H4" s="74"/>
      <c r="I4" s="74"/>
    </row>
    <row r="5" ht="15" customHeight="1" spans="2:10">
      <c r="B5" s="79" t="s">
        <v>261</v>
      </c>
      <c r="C5" s="84"/>
      <c r="D5" s="84"/>
      <c r="E5" s="84"/>
      <c r="F5" s="73" t="s">
        <v>262</v>
      </c>
      <c r="G5" s="71"/>
      <c r="H5" s="74"/>
      <c r="I5" s="74"/>
    </row>
    <row r="6" ht="12.95" customHeight="1" spans="2:10">
      <c r="B6" s="79" t="s">
        <v>263</v>
      </c>
      <c r="C6" s="85" t="str">
        <f>报关单!V7</f>
        <v>0755-123456789</v>
      </c>
      <c r="D6" s="86" t="s">
        <v>264</v>
      </c>
      <c r="E6" s="85" t="str">
        <f>报关单!Y7</f>
        <v>0755-123456789</v>
      </c>
      <c r="F6" s="77" t="s">
        <v>265</v>
      </c>
      <c r="G6" s="87" t="str">
        <f>报关单!A10</f>
        <v>SY070315151589</v>
      </c>
      <c r="H6" s="87"/>
      <c r="I6" s="87"/>
      <c r="J6" s="88"/>
    </row>
    <row r="7" ht="12.95" customHeight="1" spans="2:10">
      <c r="B7" s="89" t="s">
        <v>266</v>
      </c>
      <c r="C7" s="90"/>
      <c r="D7" s="91" t="s">
        <v>267</v>
      </c>
      <c r="E7" s="90"/>
      <c r="F7" s="77" t="s">
        <v>268</v>
      </c>
      <c r="G7" s="79"/>
      <c r="H7" s="74"/>
      <c r="I7" s="74"/>
    </row>
    <row r="8" ht="11.1" customHeight="1" spans="2:10">
      <c r="B8" s="92" t="s">
        <v>269</v>
      </c>
      <c r="C8" s="93" t="str">
        <f>报关单!V8</f>
        <v>GOODS-LUCK INT'L LOGISTICS(HK) CO.,LTD</v>
      </c>
      <c r="D8" s="93"/>
      <c r="E8" s="93"/>
      <c r="F8" s="77" t="s">
        <v>270</v>
      </c>
      <c r="G8" s="94">
        <f ca="1">TODAY()-25</f>
        <v>46006</v>
      </c>
      <c r="H8" s="94"/>
      <c r="I8" s="94"/>
    </row>
    <row r="9" ht="13.5" customHeight="1" spans="2:10">
      <c r="B9" s="71" t="s">
        <v>271</v>
      </c>
      <c r="C9" s="95"/>
      <c r="D9" s="95"/>
      <c r="E9" s="95"/>
      <c r="F9" s="96" t="s">
        <v>272</v>
      </c>
      <c r="G9" s="97"/>
      <c r="H9" s="79"/>
      <c r="I9" s="79"/>
    </row>
    <row r="10" ht="16.5" customHeight="1" spans="2:10">
      <c r="B10" s="71" t="s">
        <v>273</v>
      </c>
      <c r="C10" s="80" t="str">
        <f>报关单!V9</f>
        <v>UNIT 04,7/F BRIGHT WAY TOWER NO 33 MONG KOK RD KL,HK</v>
      </c>
      <c r="D10" s="93"/>
      <c r="E10" s="93"/>
      <c r="F10" s="77" t="s">
        <v>274</v>
      </c>
      <c r="G10" s="98" t="str">
        <f>报关单!V3</f>
        <v>深圳</v>
      </c>
      <c r="H10" s="78"/>
      <c r="I10" s="78"/>
    </row>
    <row r="11" ht="13.5" customHeight="1" spans="2:10">
      <c r="B11" s="71" t="s">
        <v>275</v>
      </c>
      <c r="C11" s="95"/>
      <c r="D11" s="95"/>
      <c r="E11" s="95"/>
      <c r="F11" s="99" t="s">
        <v>276</v>
      </c>
      <c r="G11" s="100" t="str">
        <f>报关单!V4</f>
        <v>FOB</v>
      </c>
      <c r="H11" s="101" t="str">
        <f>报关单!W4</f>
        <v>SHENZHEN</v>
      </c>
      <c r="I11" s="101"/>
    </row>
    <row r="12" ht="9.95" customHeight="1" spans="2:10">
      <c r="B12" s="71" t="s">
        <v>277</v>
      </c>
      <c r="C12" s="102" t="str">
        <f>报关单!V10</f>
        <v>(0852)123456789</v>
      </c>
      <c r="D12" s="103" t="s">
        <v>278</v>
      </c>
      <c r="E12" s="102" t="str">
        <f>报关单!Y10</f>
        <v>(0852)123456789</v>
      </c>
      <c r="F12" s="104"/>
      <c r="G12" s="100"/>
      <c r="H12" s="101"/>
      <c r="I12" s="101"/>
    </row>
    <row r="13" ht="9" customHeight="1" spans="2:10">
      <c r="B13" s="89" t="s">
        <v>279</v>
      </c>
      <c r="C13" s="105"/>
      <c r="D13" s="89" t="s">
        <v>267</v>
      </c>
      <c r="E13" s="105"/>
      <c r="F13" s="106"/>
      <c r="G13" s="106"/>
      <c r="H13" s="74"/>
      <c r="I13" s="74"/>
    </row>
    <row r="14" ht="13.5" customHeight="1" spans="2:10">
      <c r="B14" s="107" t="s">
        <v>280</v>
      </c>
      <c r="C14" s="108"/>
      <c r="D14" s="106"/>
      <c r="E14" s="106"/>
      <c r="F14" s="106"/>
      <c r="G14" s="106"/>
      <c r="H14" s="74"/>
      <c r="I14" s="74"/>
    </row>
    <row r="15" ht="13.5" customHeight="1" spans="2:10">
      <c r="B15" s="109" t="s">
        <v>281</v>
      </c>
      <c r="C15" s="109"/>
      <c r="D15" s="109"/>
      <c r="E15" s="109"/>
      <c r="F15" s="109"/>
      <c r="G15" s="109"/>
      <c r="H15" s="109"/>
      <c r="I15" s="109"/>
    </row>
    <row r="16" s="67" customFormat="1" customHeight="1" spans="2:10">
      <c r="B16" s="110" t="s">
        <v>282</v>
      </c>
      <c r="C16" s="111"/>
      <c r="D16" s="112" t="s">
        <v>283</v>
      </c>
      <c r="E16" s="112" t="s">
        <v>284</v>
      </c>
      <c r="F16" s="112" t="s">
        <v>285</v>
      </c>
      <c r="G16" s="110" t="s">
        <v>286</v>
      </c>
      <c r="H16" s="113"/>
      <c r="I16" s="111"/>
    </row>
    <row r="17" s="67" customFormat="1" ht="10.5" customHeight="1" spans="2:9">
      <c r="B17" s="114" t="s">
        <v>287</v>
      </c>
      <c r="C17" s="115"/>
      <c r="D17" s="116" t="s">
        <v>288</v>
      </c>
      <c r="E17" s="116" t="s">
        <v>289</v>
      </c>
      <c r="F17" s="116" t="s">
        <v>290</v>
      </c>
      <c r="G17" s="114" t="s">
        <v>291</v>
      </c>
      <c r="H17" s="105"/>
      <c r="I17" s="115"/>
    </row>
    <row r="18" s="67" customFormat="1" ht="12" customHeight="1" spans="2:9">
      <c r="B18" s="117" t="str">
        <f ca="1">发票!C8</f>
        <v>移动电源</v>
      </c>
      <c r="C18" s="118"/>
      <c r="D18" s="119">
        <f ca="1">发票!D8</f>
        <v>580</v>
      </c>
      <c r="E18" s="120" t="str">
        <f ca="1">发票!E8</f>
        <v>个</v>
      </c>
      <c r="F18" s="121">
        <f ca="1">发票!F8</f>
        <v>10</v>
      </c>
      <c r="G18" s="122" t="str">
        <f ca="1">发票!G8</f>
        <v>美元</v>
      </c>
      <c r="H18" s="123">
        <f ca="1">发票!H8</f>
        <v>5800</v>
      </c>
      <c r="I18" s="124"/>
    </row>
    <row r="19" s="67" customFormat="1" ht="12" customHeight="1" spans="2:9">
      <c r="B19" s="117">
        <f ca="1">发票!C9</f>
        <v>0</v>
      </c>
      <c r="C19" s="118"/>
      <c r="D19" s="119">
        <f ca="1">发票!D9</f>
        <v>0</v>
      </c>
      <c r="E19" s="120">
        <f ca="1">发票!E9</f>
        <v>0</v>
      </c>
      <c r="F19" s="121">
        <f ca="1">发票!F9</f>
        <v>0</v>
      </c>
      <c r="G19" s="122">
        <f ca="1">发票!G9</f>
        <v>0</v>
      </c>
      <c r="H19" s="123">
        <f ca="1">发票!H9</f>
        <v>0</v>
      </c>
      <c r="I19" s="124"/>
    </row>
    <row r="20" s="67" customFormat="1" ht="12" customHeight="1" spans="2:9">
      <c r="B20" s="117">
        <f ca="1">发票!C10</f>
        <v>0</v>
      </c>
      <c r="C20" s="118"/>
      <c r="D20" s="119">
        <f ca="1">发票!D10</f>
        <v>0</v>
      </c>
      <c r="E20" s="120">
        <f ca="1">发票!E10</f>
        <v>0</v>
      </c>
      <c r="F20" s="121">
        <f ca="1">发票!F10</f>
        <v>0</v>
      </c>
      <c r="G20" s="122">
        <f ca="1">发票!G10</f>
        <v>0</v>
      </c>
      <c r="H20" s="123">
        <f ca="1">发票!H10</f>
        <v>0</v>
      </c>
      <c r="I20" s="124"/>
    </row>
    <row r="21" s="67" customFormat="1" ht="12" customHeight="1" spans="2:9">
      <c r="B21" s="117">
        <f ca="1">发票!C11</f>
        <v>0</v>
      </c>
      <c r="C21" s="118"/>
      <c r="D21" s="119">
        <f ca="1">发票!D11</f>
        <v>0</v>
      </c>
      <c r="E21" s="120">
        <f ca="1">发票!E11</f>
        <v>0</v>
      </c>
      <c r="F21" s="121">
        <f ca="1">发票!F11</f>
        <v>0</v>
      </c>
      <c r="G21" s="122">
        <f ca="1">发票!G11</f>
        <v>0</v>
      </c>
      <c r="H21" s="123">
        <f ca="1">发票!H11</f>
        <v>0</v>
      </c>
      <c r="I21" s="124"/>
    </row>
    <row r="22" s="67" customFormat="1" ht="12" customHeight="1" spans="2:9">
      <c r="B22" s="117">
        <f ca="1">发票!C12</f>
        <v>0</v>
      </c>
      <c r="C22" s="118"/>
      <c r="D22" s="119">
        <f ca="1">发票!D12</f>
        <v>0</v>
      </c>
      <c r="E22" s="120">
        <f ca="1">发票!E12</f>
        <v>0</v>
      </c>
      <c r="F22" s="121">
        <f ca="1">发票!F12</f>
        <v>0</v>
      </c>
      <c r="G22" s="122">
        <f ca="1">发票!G12</f>
        <v>0</v>
      </c>
      <c r="H22" s="123">
        <f ca="1">发票!H12</f>
        <v>0</v>
      </c>
      <c r="I22" s="124"/>
    </row>
    <row r="23" s="67" customFormat="1" ht="12" customHeight="1" spans="2:9">
      <c r="B23" s="117">
        <f ca="1">发票!C13</f>
        <v>0</v>
      </c>
      <c r="C23" s="118"/>
      <c r="D23" s="119">
        <f ca="1">发票!D13</f>
        <v>0</v>
      </c>
      <c r="E23" s="120">
        <f ca="1">发票!E13</f>
        <v>0</v>
      </c>
      <c r="F23" s="121">
        <f ca="1">发票!F13</f>
        <v>0</v>
      </c>
      <c r="G23" s="122">
        <f ca="1">发票!G13</f>
        <v>0</v>
      </c>
      <c r="H23" s="123">
        <f ca="1">发票!H13</f>
        <v>0</v>
      </c>
      <c r="I23" s="124"/>
    </row>
    <row r="24" s="67" customFormat="1" ht="12" customHeight="1" spans="2:9">
      <c r="B24" s="117">
        <f ca="1">发票!C14</f>
        <v>0</v>
      </c>
      <c r="C24" s="118"/>
      <c r="D24" s="119">
        <f ca="1">发票!D14</f>
        <v>0</v>
      </c>
      <c r="E24" s="120">
        <f ca="1">发票!E14</f>
        <v>0</v>
      </c>
      <c r="F24" s="121">
        <f ca="1">发票!F14</f>
        <v>0</v>
      </c>
      <c r="G24" s="122">
        <f ca="1">发票!G14</f>
        <v>0</v>
      </c>
      <c r="H24" s="123">
        <f ca="1">发票!H14</f>
        <v>0</v>
      </c>
      <c r="I24" s="124"/>
    </row>
    <row r="25" s="67" customFormat="1" ht="12" customHeight="1" spans="2:9">
      <c r="B25" s="117">
        <f ca="1">发票!C15</f>
        <v>0</v>
      </c>
      <c r="C25" s="118"/>
      <c r="D25" s="119">
        <f ca="1">发票!D15</f>
        <v>0</v>
      </c>
      <c r="E25" s="120">
        <f ca="1">发票!E15</f>
        <v>0</v>
      </c>
      <c r="F25" s="121">
        <f ca="1">发票!F15</f>
        <v>0</v>
      </c>
      <c r="G25" s="122">
        <f ca="1">发票!G15</f>
        <v>0</v>
      </c>
      <c r="H25" s="123">
        <f ca="1">发票!H15</f>
        <v>0</v>
      </c>
      <c r="I25" s="124"/>
    </row>
    <row r="26" s="67" customFormat="1" ht="12" customHeight="1" spans="2:9">
      <c r="B26" s="117">
        <f ca="1">发票!C16</f>
        <v>0</v>
      </c>
      <c r="C26" s="118"/>
      <c r="D26" s="119">
        <f ca="1">发票!D16</f>
        <v>0</v>
      </c>
      <c r="E26" s="120">
        <f ca="1">发票!E16</f>
        <v>0</v>
      </c>
      <c r="F26" s="121">
        <f ca="1">发票!F16</f>
        <v>0</v>
      </c>
      <c r="G26" s="122">
        <f ca="1">发票!G16</f>
        <v>0</v>
      </c>
      <c r="H26" s="123">
        <f ca="1">发票!H16</f>
        <v>0</v>
      </c>
      <c r="I26" s="124"/>
    </row>
    <row r="27" s="67" customFormat="1" ht="12" customHeight="1" spans="2:9">
      <c r="B27" s="117">
        <f ca="1">发票!C17</f>
        <v>0</v>
      </c>
      <c r="C27" s="118"/>
      <c r="D27" s="119">
        <f ca="1">发票!D17</f>
        <v>0</v>
      </c>
      <c r="E27" s="120">
        <f ca="1">发票!E17</f>
        <v>0</v>
      </c>
      <c r="F27" s="121">
        <f ca="1">发票!F17</f>
        <v>0</v>
      </c>
      <c r="G27" s="122">
        <f ca="1">发票!G17</f>
        <v>0</v>
      </c>
      <c r="H27" s="123">
        <f ca="1">发票!H17</f>
        <v>0</v>
      </c>
      <c r="I27" s="124"/>
    </row>
    <row r="28" s="67" customFormat="1" ht="12" customHeight="1" spans="2:9">
      <c r="B28" s="117">
        <f ca="1">发票!C18</f>
        <v>0</v>
      </c>
      <c r="C28" s="118"/>
      <c r="D28" s="119">
        <f ca="1">发票!D18</f>
        <v>0</v>
      </c>
      <c r="E28" s="120">
        <f ca="1">发票!E18</f>
        <v>0</v>
      </c>
      <c r="F28" s="121">
        <f ca="1">发票!F18</f>
        <v>0</v>
      </c>
      <c r="G28" s="122">
        <f ca="1">发票!G18</f>
        <v>0</v>
      </c>
      <c r="H28" s="123">
        <f ca="1">发票!H18</f>
        <v>0</v>
      </c>
      <c r="I28" s="124"/>
    </row>
    <row r="29" s="67" customFormat="1" ht="12" customHeight="1" spans="2:9">
      <c r="B29" s="117">
        <f ca="1">发票!C19</f>
        <v>0</v>
      </c>
      <c r="C29" s="118"/>
      <c r="D29" s="119">
        <f ca="1">发票!D19</f>
        <v>0</v>
      </c>
      <c r="E29" s="120">
        <f ca="1">发票!E19</f>
        <v>0</v>
      </c>
      <c r="F29" s="121">
        <f ca="1">发票!F19</f>
        <v>0</v>
      </c>
      <c r="G29" s="122">
        <f ca="1">发票!G19</f>
        <v>0</v>
      </c>
      <c r="H29" s="123">
        <f ca="1">发票!H19</f>
        <v>0</v>
      </c>
      <c r="I29" s="124"/>
    </row>
    <row r="30" s="67" customFormat="1" ht="12" customHeight="1" spans="2:9">
      <c r="B30" s="117">
        <f ca="1">发票!C20</f>
        <v>0</v>
      </c>
      <c r="C30" s="118"/>
      <c r="D30" s="119">
        <f ca="1">发票!D20</f>
        <v>0</v>
      </c>
      <c r="E30" s="120">
        <f ca="1">发票!E20</f>
        <v>0</v>
      </c>
      <c r="F30" s="121">
        <f ca="1">发票!F20</f>
        <v>0</v>
      </c>
      <c r="G30" s="122">
        <f ca="1">发票!G20</f>
        <v>0</v>
      </c>
      <c r="H30" s="123">
        <f ca="1">发票!H20</f>
        <v>0</v>
      </c>
      <c r="I30" s="124"/>
    </row>
    <row r="31" s="67" customFormat="1" ht="12" customHeight="1" spans="2:9">
      <c r="B31" s="117">
        <f ca="1">发票!C21</f>
        <v>0</v>
      </c>
      <c r="C31" s="118"/>
      <c r="D31" s="119">
        <f ca="1">发票!D21</f>
        <v>0</v>
      </c>
      <c r="E31" s="120">
        <f ca="1">发票!E21</f>
        <v>0</v>
      </c>
      <c r="F31" s="121">
        <f ca="1">发票!F21</f>
        <v>0</v>
      </c>
      <c r="G31" s="122">
        <f ca="1">发票!G21</f>
        <v>0</v>
      </c>
      <c r="H31" s="123">
        <f ca="1">发票!H21</f>
        <v>0</v>
      </c>
      <c r="I31" s="124"/>
    </row>
    <row r="32" s="67" customFormat="1" ht="12" customHeight="1" spans="2:9">
      <c r="B32" s="117">
        <f ca="1">发票!C22</f>
        <v>0</v>
      </c>
      <c r="C32" s="118"/>
      <c r="D32" s="119">
        <f ca="1">发票!D22</f>
        <v>0</v>
      </c>
      <c r="E32" s="120">
        <f ca="1">发票!E22</f>
        <v>0</v>
      </c>
      <c r="F32" s="121">
        <f ca="1">发票!F22</f>
        <v>0</v>
      </c>
      <c r="G32" s="122">
        <f ca="1">发票!G22</f>
        <v>0</v>
      </c>
      <c r="H32" s="123">
        <f ca="1">发票!H22</f>
        <v>0</v>
      </c>
      <c r="I32" s="124"/>
    </row>
    <row r="33" s="67" customFormat="1" ht="12" customHeight="1" spans="2:9">
      <c r="B33" s="117">
        <f ca="1">发票!C23</f>
        <v>0</v>
      </c>
      <c r="C33" s="118"/>
      <c r="D33" s="119">
        <f ca="1">发票!D23</f>
        <v>0</v>
      </c>
      <c r="E33" s="120">
        <f ca="1">发票!E23</f>
        <v>0</v>
      </c>
      <c r="F33" s="121">
        <f ca="1">发票!F23</f>
        <v>0</v>
      </c>
      <c r="G33" s="122">
        <f ca="1">发票!G23</f>
        <v>0</v>
      </c>
      <c r="H33" s="123">
        <f ca="1">发票!H23</f>
        <v>0</v>
      </c>
      <c r="I33" s="124"/>
    </row>
    <row r="34" s="67" customFormat="1" ht="12" customHeight="1" spans="2:9">
      <c r="B34" s="117"/>
      <c r="C34" s="118"/>
      <c r="D34" s="119"/>
      <c r="E34" s="120"/>
      <c r="F34" s="121"/>
      <c r="G34" s="122"/>
      <c r="H34" s="123"/>
      <c r="I34" s="124"/>
    </row>
    <row r="35" s="67" customFormat="1" ht="6" customHeight="1" spans="2:9">
      <c r="B35" s="125"/>
      <c r="C35" s="126"/>
      <c r="D35" s="127"/>
      <c r="E35" s="128"/>
      <c r="F35" s="129"/>
      <c r="G35" s="130"/>
      <c r="H35" s="131"/>
      <c r="I35" s="132"/>
    </row>
    <row r="36" ht="13.5" customHeight="1" spans="2:9">
      <c r="B36" s="107" t="s">
        <v>292</v>
      </c>
      <c r="C36" s="107"/>
      <c r="D36" s="106"/>
      <c r="E36" s="106"/>
      <c r="F36" s="133" t="s">
        <v>293</v>
      </c>
      <c r="G36" s="134" t="str">
        <f ca="1">G18</f>
        <v>美元</v>
      </c>
      <c r="H36" s="135">
        <f ca="1">SUM(H18:I35)</f>
        <v>5800</v>
      </c>
      <c r="I36" s="135"/>
    </row>
    <row r="37" ht="13.5" customHeight="1" spans="2:9">
      <c r="B37" s="136" t="s">
        <v>294</v>
      </c>
      <c r="C37" s="136"/>
      <c r="D37" s="136"/>
      <c r="E37" s="136"/>
      <c r="F37" s="137" t="s">
        <v>295</v>
      </c>
      <c r="G37" s="138"/>
      <c r="H37" s="139"/>
      <c r="I37" s="139"/>
    </row>
    <row r="38" ht="13.5" customHeight="1" spans="2:9">
      <c r="B38" s="140" t="s">
        <v>296</v>
      </c>
      <c r="C38" s="141"/>
      <c r="D38" s="142" t="str">
        <f ca="1">IF(G36="CNY","总计人民币:",IF(G36="USD","总计美元: ","  "))</f>
        <v>  </v>
      </c>
      <c r="E38" s="143">
        <f ca="1">H36</f>
        <v>5800</v>
      </c>
      <c r="F38" s="143"/>
      <c r="G38" s="143"/>
      <c r="H38" s="143"/>
      <c r="I38" s="143"/>
    </row>
    <row r="39" ht="13.5" customHeight="1" spans="2:9">
      <c r="B39" s="106" t="s">
        <v>297</v>
      </c>
      <c r="C39" s="106"/>
      <c r="D39" s="144"/>
      <c r="E39" s="143"/>
      <c r="F39" s="143"/>
      <c r="G39" s="143"/>
      <c r="H39" s="143"/>
      <c r="I39" s="143"/>
    </row>
    <row r="40" ht="13.5" customHeight="1" spans="2:9">
      <c r="B40" s="145" t="s">
        <v>298</v>
      </c>
      <c r="C40" s="146"/>
      <c r="D40" s="147"/>
      <c r="E40" s="148"/>
      <c r="F40" s="148"/>
      <c r="G40" s="148"/>
      <c r="H40" s="148"/>
      <c r="I40" s="148"/>
    </row>
    <row r="41" ht="12" customHeight="1" spans="2:9">
      <c r="B41" s="106" t="s">
        <v>299</v>
      </c>
      <c r="C41" s="106"/>
      <c r="D41" s="148"/>
      <c r="E41" s="148"/>
      <c r="F41" s="148"/>
      <c r="G41" s="148"/>
      <c r="H41" s="148"/>
      <c r="I41" s="148"/>
    </row>
    <row r="42" ht="13.5" customHeight="1" spans="2:9">
      <c r="B42" s="145" t="s">
        <v>300</v>
      </c>
      <c r="C42" s="145"/>
      <c r="D42" s="148"/>
      <c r="E42" s="148"/>
      <c r="F42" s="148"/>
      <c r="G42" s="148"/>
      <c r="H42" s="148"/>
      <c r="I42" s="148"/>
    </row>
    <row r="43" ht="11.1" customHeight="1" spans="2:9">
      <c r="B43" s="145" t="s">
        <v>301</v>
      </c>
      <c r="C43" s="149">
        <f ca="1">TODAY()+15</f>
        <v>46046</v>
      </c>
      <c r="D43" s="149"/>
      <c r="E43" s="150" t="s">
        <v>302</v>
      </c>
      <c r="F43" s="145"/>
      <c r="G43" s="145"/>
      <c r="H43" s="74"/>
      <c r="I43" s="74"/>
    </row>
    <row r="44" ht="13.5" customHeight="1" spans="2:9">
      <c r="B44" s="145" t="s">
        <v>303</v>
      </c>
      <c r="C44" s="151" t="str">
        <f>报关单!O10</f>
        <v>盐田</v>
      </c>
      <c r="D44" s="152" t="str">
        <f>箱单!D7</f>
        <v>香港</v>
      </c>
      <c r="E44" s="141" t="s">
        <v>304</v>
      </c>
      <c r="F44" s="145"/>
      <c r="G44" s="145"/>
      <c r="H44" s="74"/>
      <c r="I44" s="74"/>
    </row>
    <row r="45" ht="9.95" customHeight="1" spans="2:9">
      <c r="B45" s="145" t="s">
        <v>305</v>
      </c>
      <c r="C45" s="145"/>
      <c r="D45" s="145"/>
      <c r="E45" s="145"/>
      <c r="F45" s="145"/>
      <c r="G45" s="145"/>
      <c r="H45" s="145"/>
      <c r="I45" s="145"/>
    </row>
    <row r="46" ht="13.5" customHeight="1" spans="2:9">
      <c r="B46" s="145" t="s">
        <v>306</v>
      </c>
      <c r="C46" s="145"/>
      <c r="D46" s="145"/>
      <c r="E46" s="145"/>
      <c r="F46" s="145"/>
      <c r="G46" s="106"/>
      <c r="H46" s="74"/>
      <c r="I46" s="74"/>
    </row>
    <row r="47" ht="12" customHeight="1" spans="2:9">
      <c r="B47" s="106" t="s">
        <v>307</v>
      </c>
      <c r="C47" s="145"/>
      <c r="D47" s="145"/>
      <c r="E47" s="145"/>
      <c r="F47" s="145"/>
      <c r="G47" s="153"/>
      <c r="H47" s="74"/>
      <c r="I47" s="74"/>
    </row>
    <row r="48" ht="13.5" customHeight="1" spans="2:9">
      <c r="B48" s="145" t="s">
        <v>308</v>
      </c>
      <c r="C48" s="154" t="str">
        <f>箱单!G7</f>
        <v>电汇</v>
      </c>
      <c r="D48" s="152"/>
      <c r="E48" s="145"/>
      <c r="F48" s="145"/>
      <c r="G48" s="155"/>
      <c r="H48" s="74"/>
      <c r="I48" s="74"/>
    </row>
    <row r="49" ht="12" customHeight="1" spans="2:9">
      <c r="B49" s="145" t="s">
        <v>309</v>
      </c>
      <c r="C49" s="145"/>
      <c r="D49" s="145"/>
      <c r="E49" s="145"/>
      <c r="F49" s="145"/>
      <c r="G49" s="155"/>
      <c r="H49" s="74"/>
      <c r="I49" s="74"/>
    </row>
    <row r="50" ht="13.5" customHeight="1" spans="2:9">
      <c r="B50" s="145" t="s">
        <v>310</v>
      </c>
      <c r="C50" s="151"/>
      <c r="D50" s="151"/>
      <c r="E50" s="151"/>
      <c r="F50" s="151"/>
      <c r="G50" s="151"/>
      <c r="H50" s="74"/>
      <c r="I50" s="74"/>
    </row>
    <row r="51" ht="12" customHeight="1" spans="2:9">
      <c r="B51" s="145" t="s">
        <v>311</v>
      </c>
      <c r="C51" s="151"/>
      <c r="D51" s="151"/>
      <c r="E51" s="151"/>
      <c r="F51" s="151"/>
      <c r="G51" s="151"/>
      <c r="H51" s="74"/>
      <c r="I51" s="74"/>
    </row>
    <row r="52" ht="13.5" hidden="1" customHeight="1" spans="2:9">
      <c r="B52" s="145"/>
      <c r="C52" s="151"/>
      <c r="D52" s="151"/>
      <c r="E52" s="151"/>
      <c r="F52" s="151"/>
      <c r="G52" s="151"/>
      <c r="H52" s="74"/>
      <c r="I52" s="74"/>
    </row>
    <row r="53" ht="2.25" customHeight="1" spans="2:9">
      <c r="B53" s="145"/>
      <c r="C53" s="145"/>
      <c r="D53" s="145"/>
      <c r="E53" s="145"/>
      <c r="F53" s="145"/>
      <c r="G53" s="145"/>
      <c r="H53" s="74"/>
      <c r="I53" s="74"/>
    </row>
    <row r="54" ht="9" customHeight="1" spans="2:9">
      <c r="B54" s="145"/>
      <c r="C54" s="145"/>
      <c r="D54" s="145"/>
      <c r="E54" s="145"/>
      <c r="F54" s="145"/>
      <c r="G54" s="145"/>
      <c r="H54" s="74"/>
      <c r="I54" s="74"/>
    </row>
    <row r="55" ht="13.5" customHeight="1" spans="2:9">
      <c r="B55" s="156"/>
      <c r="D55" s="145"/>
      <c r="E55" s="156"/>
      <c r="H55" s="74"/>
      <c r="I55" s="74"/>
    </row>
    <row r="56" ht="13.5" customHeight="1" spans="2:9">
      <c r="B56" s="156"/>
      <c r="D56" s="145"/>
      <c r="E56" s="157"/>
      <c r="H56" s="74"/>
      <c r="I56" s="74"/>
    </row>
    <row r="57" ht="13.5" customHeight="1" spans="2:9">
      <c r="B57" s="155" t="s">
        <v>312</v>
      </c>
      <c r="D57" s="145"/>
      <c r="E57" s="158" t="s">
        <v>313</v>
      </c>
      <c r="H57" s="74"/>
      <c r="I57" s="74"/>
    </row>
    <row r="58" ht="13.5" customHeight="1" spans="2:9">
      <c r="B58" s="159" t="s">
        <v>314</v>
      </c>
      <c r="D58" s="145"/>
      <c r="E58" s="155" t="s">
        <v>315</v>
      </c>
      <c r="H58" s="74"/>
      <c r="I58" s="74"/>
    </row>
    <row r="59" ht="13.5" customHeight="1" spans="2:9">
      <c r="B59" s="145" t="s">
        <v>316</v>
      </c>
      <c r="D59" s="145"/>
      <c r="E59" s="145" t="s">
        <v>316</v>
      </c>
      <c r="H59" s="74"/>
      <c r="I59" s="74"/>
    </row>
    <row r="60" ht="9" customHeight="1" spans="2:9">
      <c r="B60" s="158"/>
      <c r="C60" s="158"/>
      <c r="D60" s="158"/>
      <c r="E60" s="158"/>
      <c r="F60" s="158"/>
      <c r="G60" s="158"/>
      <c r="H60" s="74"/>
      <c r="I60" s="74"/>
    </row>
    <row r="61" ht="13.5" customHeight="1"/>
    <row r="62" ht="13.5" customHeight="1"/>
  </sheetData>
  <sheetProtection formatCells="0" formatColumns="0" formatRows="0" insertRows="0" insertColumns="0" insertHyperlinks="0" deleteColumns="0" deleteRows="0" sort="0" autoFilter="0" pivotTables="0"/>
  <mergeCells count="73">
    <mergeCell ref="B1:I1"/>
    <mergeCell ref="H2:I2"/>
    <mergeCell ref="G3:I3"/>
    <mergeCell ref="H4:I4"/>
    <mergeCell ref="H5:I5"/>
    <mergeCell ref="G6:I6"/>
    <mergeCell ref="H7:I7"/>
    <mergeCell ref="G8:I8"/>
    <mergeCell ref="H9:I9"/>
    <mergeCell ref="G10:I10"/>
    <mergeCell ref="H13:I13"/>
    <mergeCell ref="H14:I14"/>
    <mergeCell ref="B15:I15"/>
    <mergeCell ref="B16:C16"/>
    <mergeCell ref="G16:I16"/>
    <mergeCell ref="B17:C17"/>
    <mergeCell ref="G17:I17"/>
    <mergeCell ref="B18:C18"/>
    <mergeCell ref="H18:I18"/>
    <mergeCell ref="B19:C19"/>
    <mergeCell ref="H19:I19"/>
    <mergeCell ref="B20:C20"/>
    <mergeCell ref="H20:I20"/>
    <mergeCell ref="B21:C21"/>
    <mergeCell ref="H21:I21"/>
    <mergeCell ref="B22:C22"/>
    <mergeCell ref="H22:I22"/>
    <mergeCell ref="B23:C23"/>
    <mergeCell ref="H23:I23"/>
    <mergeCell ref="B24:C24"/>
    <mergeCell ref="H24:I24"/>
    <mergeCell ref="B25:C25"/>
    <mergeCell ref="H25:I25"/>
    <mergeCell ref="B26:C26"/>
    <mergeCell ref="H26:I26"/>
    <mergeCell ref="B27:C27"/>
    <mergeCell ref="H27:I27"/>
    <mergeCell ref="B28:C28"/>
    <mergeCell ref="H28:I28"/>
    <mergeCell ref="B29:C29"/>
    <mergeCell ref="H29:I29"/>
    <mergeCell ref="B30:C30"/>
    <mergeCell ref="H30:I30"/>
    <mergeCell ref="B31:C31"/>
    <mergeCell ref="H31:I31"/>
    <mergeCell ref="B32:C32"/>
    <mergeCell ref="H32:I32"/>
    <mergeCell ref="B33:C33"/>
    <mergeCell ref="H33:I33"/>
    <mergeCell ref="B34:C34"/>
    <mergeCell ref="H34:I34"/>
    <mergeCell ref="B35:C35"/>
    <mergeCell ref="H35:I35"/>
    <mergeCell ref="B37:E37"/>
    <mergeCell ref="E38:H38"/>
    <mergeCell ref="C43:D43"/>
    <mergeCell ref="C6:C7"/>
    <mergeCell ref="C12:C13"/>
    <mergeCell ref="E6:E7"/>
    <mergeCell ref="E12:E13"/>
    <mergeCell ref="F11:F12"/>
    <mergeCell ref="G11:G12"/>
    <mergeCell ref="G36:G37"/>
    <mergeCell ref="C2:E3"/>
    <mergeCell ref="C4:E5"/>
    <mergeCell ref="H11:I12"/>
    <mergeCell ref="H36:I37"/>
    <mergeCell ref="H46:I60"/>
    <mergeCell ref="C50:G52"/>
    <mergeCell ref="C8:E9"/>
    <mergeCell ref="C10:E11"/>
    <mergeCell ref="D40:I42"/>
    <mergeCell ref="H43:I44"/>
  </mergeCells>
  <pageMargins left="0.2" right="0.2" top="0.279166666666667" bottom="0.238888888888889" header="0.238888888888889" footer="0.0791666666666667"/>
  <pageSetup paperSize="9" orientation="portrait"/>
  <headerFooter alignWithMargins="0" scaleWithDoc="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J49"/>
  <sheetViews>
    <sheetView showZeros="0" view="pageBreakPreview" zoomScaleNormal="100" topLeftCell="A10" workbookViewId="0">
      <selection activeCell="H20" sqref="H20"/>
    </sheetView>
  </sheetViews>
  <sheetFormatPr defaultColWidth="9" defaultRowHeight="14.25"/>
  <cols>
    <col min="1" max="1" width="2.875" customWidth="1"/>
    <col min="2" max="2" width="11.5" customWidth="1"/>
    <col min="3" max="3" width="9" customWidth="1"/>
    <col min="4" max="4" width="7" customWidth="1"/>
    <col min="5" max="5" width="12.5" customWidth="1"/>
    <col min="6" max="6" width="2.125" customWidth="1"/>
    <col min="7" max="7" width="12.625" customWidth="1"/>
    <col min="8" max="8" width="14" customWidth="1"/>
    <col min="10" max="10" width="4.75" customWidth="1"/>
  </cols>
  <sheetData>
    <row r="1" ht="12" customHeight="1"/>
    <row r="2" ht="9" customHeight="1"/>
    <row r="3" ht="18.75" spans="2:9">
      <c r="E3" s="1" t="s">
        <v>317</v>
      </c>
    </row>
    <row r="5" spans="2:9">
      <c r="G5" t="s">
        <v>318</v>
      </c>
    </row>
    <row r="6" spans="2:9">
      <c r="C6" s="2">
        <f>报关单!V11</f>
        <v>0</v>
      </c>
    </row>
    <row r="7" spans="2:9">
      <c r="B7" s="3" t="s">
        <v>319</v>
      </c>
    </row>
    <row r="8" spans="2:9">
      <c r="B8" s="3" t="s">
        <v>320</v>
      </c>
    </row>
    <row r="9" spans="2:9">
      <c r="B9" s="3" t="s">
        <v>321</v>
      </c>
    </row>
    <row r="10" spans="2:9">
      <c r="B10" s="3" t="s">
        <v>322</v>
      </c>
    </row>
    <row r="11" spans="2:9">
      <c r="B11" s="3" t="s">
        <v>323</v>
      </c>
    </row>
    <row r="12" spans="2:9">
      <c r="B12" s="3" t="s">
        <v>324</v>
      </c>
      <c r="E12" s="4" t="s">
        <v>325</v>
      </c>
    </row>
    <row r="13" spans="2:9">
      <c r="G13" s="5" t="s">
        <v>326</v>
      </c>
    </row>
    <row r="15" spans="2:9">
      <c r="D15" s="5" t="s">
        <v>327</v>
      </c>
      <c r="I15" s="6"/>
    </row>
    <row r="16" spans="2:9">
      <c r="H16" s="7">
        <f ca="1">TODAY()-1</f>
        <v>46030</v>
      </c>
      <c r="I16" s="7"/>
    </row>
    <row r="18" ht="18.75" spans="2:10">
      <c r="E18" s="1" t="s">
        <v>328</v>
      </c>
    </row>
    <row r="20" ht="15" spans="2:10">
      <c r="B20" s="3" t="s">
        <v>329</v>
      </c>
    </row>
    <row r="21" spans="2:10">
      <c r="B21" s="8" t="s">
        <v>330</v>
      </c>
      <c r="C21" s="9" t="str">
        <f>报关单!A4</f>
        <v>深圳市*****有限公司</v>
      </c>
      <c r="D21" s="9"/>
      <c r="E21" s="9"/>
      <c r="F21" s="3"/>
      <c r="G21" s="8" t="s">
        <v>331</v>
      </c>
      <c r="H21" s="10">
        <f>报关单!Y11</f>
        <v>0</v>
      </c>
      <c r="I21" s="10"/>
      <c r="J21" s="10"/>
    </row>
    <row r="22" ht="15" spans="2:10">
      <c r="B22" s="11" t="s">
        <v>332</v>
      </c>
      <c r="C22" s="12" t="str">
        <f ca="1">发票!C8</f>
        <v>移动电源</v>
      </c>
      <c r="D22" s="12"/>
      <c r="E22" s="12"/>
      <c r="F22" s="3"/>
      <c r="G22" s="11" t="s">
        <v>333</v>
      </c>
      <c r="H22" s="13"/>
      <c r="I22" s="13"/>
      <c r="J22" s="13"/>
    </row>
    <row r="23" spans="2:10">
      <c r="B23" s="14" t="s">
        <v>334</v>
      </c>
      <c r="C23" s="15">
        <f>报关单!B20</f>
        <v>8507600090</v>
      </c>
      <c r="D23" s="16"/>
      <c r="E23" s="15"/>
      <c r="F23" s="3"/>
      <c r="G23" s="14" t="s">
        <v>335</v>
      </c>
      <c r="H23" s="17">
        <f ca="1">TODAY()</f>
        <v>46031</v>
      </c>
      <c r="I23" s="17"/>
      <c r="J23" s="17"/>
    </row>
    <row r="24" spans="2:10">
      <c r="B24" s="18" t="s">
        <v>336</v>
      </c>
      <c r="C24" s="19" t="str">
        <f ca="1">发票!G24</f>
        <v>美元</v>
      </c>
      <c r="D24" s="20">
        <f ca="1">发票!H24</f>
        <v>5800</v>
      </c>
      <c r="E24" s="21"/>
      <c r="F24" s="3"/>
      <c r="G24" s="18" t="s">
        <v>337</v>
      </c>
      <c r="H24" s="18" t="s">
        <v>338</v>
      </c>
      <c r="I24" s="18" t="s">
        <v>339</v>
      </c>
      <c r="J24" s="18"/>
    </row>
    <row r="25" spans="2:10">
      <c r="B25" s="18" t="s">
        <v>340</v>
      </c>
      <c r="C25" s="22">
        <f ca="1">TODAY()+1</f>
        <v>46032</v>
      </c>
      <c r="D25" s="23"/>
      <c r="E25" s="22"/>
      <c r="F25" s="3"/>
      <c r="G25" s="18"/>
      <c r="H25" s="18" t="s">
        <v>341</v>
      </c>
      <c r="I25" s="18" t="s">
        <v>342</v>
      </c>
      <c r="J25" s="18"/>
    </row>
    <row r="26" ht="15" spans="2:10">
      <c r="B26" s="24" t="s">
        <v>343</v>
      </c>
      <c r="C26" s="25"/>
      <c r="D26" s="25"/>
      <c r="E26" s="25"/>
      <c r="F26" s="3"/>
      <c r="G26" s="18"/>
      <c r="H26" s="18" t="s">
        <v>344</v>
      </c>
      <c r="I26" s="18" t="s">
        <v>345</v>
      </c>
      <c r="J26" s="18"/>
    </row>
    <row r="27" ht="15" spans="2:10">
      <c r="B27" s="26" t="s">
        <v>346</v>
      </c>
      <c r="C27" s="27" t="str">
        <f>报关单!E8</f>
        <v>一般贸易</v>
      </c>
      <c r="D27" s="27"/>
      <c r="E27" s="28"/>
      <c r="F27" s="3"/>
      <c r="G27" s="18"/>
      <c r="H27" s="29" t="s">
        <v>347</v>
      </c>
      <c r="I27" s="29"/>
      <c r="J27" s="29"/>
    </row>
    <row r="28" spans="2:10">
      <c r="B28" s="30" t="s">
        <v>348</v>
      </c>
      <c r="C28" s="16" t="str">
        <f>报关单!P20</f>
        <v>深圳特区</v>
      </c>
      <c r="D28" s="16"/>
      <c r="E28" s="16"/>
      <c r="F28" s="3"/>
      <c r="G28" s="24" t="s">
        <v>349</v>
      </c>
      <c r="H28" s="31" t="s">
        <v>350</v>
      </c>
      <c r="I28" s="31"/>
      <c r="J28" s="31"/>
    </row>
    <row r="29" spans="2:10">
      <c r="B29" s="32" t="s">
        <v>351</v>
      </c>
      <c r="C29" s="33"/>
      <c r="D29" s="33"/>
      <c r="E29" s="34"/>
      <c r="G29" s="32" t="s">
        <v>352</v>
      </c>
      <c r="H29" s="33"/>
      <c r="I29" s="33"/>
      <c r="J29" s="34"/>
    </row>
    <row r="30" spans="2:10">
      <c r="B30" s="35"/>
      <c r="C30" s="36"/>
      <c r="D30" s="36"/>
      <c r="E30" s="37"/>
      <c r="G30" s="35"/>
      <c r="H30" s="36"/>
      <c r="I30" s="36"/>
      <c r="J30" s="37"/>
    </row>
    <row r="31" spans="2:10">
      <c r="B31" s="35"/>
      <c r="C31" s="36"/>
      <c r="D31" s="36"/>
      <c r="E31" s="37"/>
      <c r="G31" s="35"/>
      <c r="H31" s="36"/>
      <c r="I31" s="36"/>
      <c r="J31" s="37"/>
    </row>
    <row r="32" spans="2:10">
      <c r="B32" s="35"/>
      <c r="C32" s="36"/>
      <c r="D32" s="36"/>
      <c r="E32" s="37"/>
      <c r="G32" s="35"/>
      <c r="H32" s="36"/>
      <c r="I32" s="36"/>
      <c r="J32" s="37"/>
    </row>
    <row r="33" spans="2:10">
      <c r="B33" s="35"/>
      <c r="C33" s="36"/>
      <c r="D33" s="36"/>
      <c r="E33" s="37"/>
      <c r="G33" s="35"/>
      <c r="H33" s="36"/>
      <c r="I33" s="36"/>
      <c r="J33" s="37"/>
    </row>
    <row r="34" spans="2:10">
      <c r="B34" s="35"/>
      <c r="C34" s="36"/>
      <c r="D34" s="36"/>
      <c r="E34" s="37"/>
      <c r="G34" s="35"/>
      <c r="H34" s="36"/>
      <c r="I34" s="36"/>
      <c r="J34" s="37"/>
    </row>
    <row r="35" spans="2:10">
      <c r="B35" s="35"/>
      <c r="C35" s="36"/>
      <c r="D35" s="36"/>
      <c r="E35" s="37"/>
      <c r="G35" s="35"/>
      <c r="H35" s="36"/>
      <c r="I35" s="36"/>
      <c r="J35" s="37"/>
    </row>
    <row r="36" spans="2:10">
      <c r="B36" s="38" t="s">
        <v>353</v>
      </c>
      <c r="C36" s="39"/>
      <c r="D36" s="39"/>
      <c r="E36" s="40"/>
      <c r="G36" s="38" t="s">
        <v>353</v>
      </c>
      <c r="H36" s="41"/>
      <c r="I36" s="41"/>
      <c r="J36" s="42"/>
    </row>
    <row r="37" spans="2:10">
      <c r="B37" s="43"/>
      <c r="C37" s="44"/>
      <c r="D37" s="44"/>
      <c r="E37" s="45"/>
      <c r="G37" s="46"/>
      <c r="H37" s="47"/>
      <c r="I37" s="47"/>
      <c r="J37" s="48"/>
    </row>
    <row r="38" spans="2:10">
      <c r="B38" s="43"/>
      <c r="C38" s="44"/>
      <c r="D38" s="44"/>
      <c r="E38" s="45"/>
      <c r="G38" s="46"/>
      <c r="H38" s="47"/>
      <c r="I38" s="47"/>
      <c r="J38" s="48"/>
    </row>
    <row r="39" spans="2:10">
      <c r="B39" s="49" t="s">
        <v>354</v>
      </c>
      <c r="C39" s="50"/>
      <c r="D39" s="50"/>
      <c r="E39" s="51"/>
      <c r="G39" s="32" t="s">
        <v>355</v>
      </c>
      <c r="H39" s="50"/>
      <c r="I39" s="50"/>
      <c r="J39" s="51"/>
    </row>
    <row r="40" spans="2:10">
      <c r="B40" s="52"/>
      <c r="C40" s="53"/>
      <c r="D40" s="53"/>
      <c r="E40" s="54"/>
      <c r="G40" s="52"/>
      <c r="H40" s="53"/>
      <c r="I40" s="53"/>
      <c r="J40" s="54"/>
    </row>
    <row r="41" spans="2:10">
      <c r="B41" s="52"/>
      <c r="C41" s="53"/>
      <c r="D41" s="53"/>
      <c r="E41" s="54"/>
      <c r="G41" s="52"/>
      <c r="H41" s="53"/>
      <c r="I41" s="53"/>
      <c r="J41" s="54"/>
    </row>
    <row r="42" spans="2:10">
      <c r="B42" s="52"/>
      <c r="C42" s="53"/>
      <c r="D42" s="53"/>
      <c r="E42" s="54"/>
      <c r="G42" s="52"/>
      <c r="H42" s="53"/>
      <c r="I42" s="53"/>
      <c r="J42" s="54"/>
    </row>
    <row r="43" spans="2:10">
      <c r="B43" s="52"/>
      <c r="C43" s="53"/>
      <c r="D43" s="53"/>
      <c r="E43" s="54"/>
      <c r="G43" s="52"/>
      <c r="H43" s="53"/>
      <c r="I43" s="53"/>
      <c r="J43" s="54"/>
    </row>
    <row r="44" spans="2:10">
      <c r="B44" s="35" t="s">
        <v>356</v>
      </c>
      <c r="C44" s="53"/>
      <c r="D44" s="53"/>
      <c r="E44" s="54"/>
      <c r="G44" s="35" t="s">
        <v>357</v>
      </c>
      <c r="H44" s="36"/>
      <c r="I44" s="36"/>
      <c r="J44" s="37"/>
    </row>
    <row r="45" spans="2:10">
      <c r="B45" s="35" t="s">
        <v>358</v>
      </c>
      <c r="C45" s="53"/>
      <c r="D45" s="55"/>
      <c r="E45" s="56">
        <f ca="1">TODAY()-1</f>
        <v>46030</v>
      </c>
      <c r="G45" s="35" t="s">
        <v>358</v>
      </c>
      <c r="H45" s="57"/>
      <c r="I45" s="58">
        <f ca="1">TODAY()</f>
        <v>46031</v>
      </c>
      <c r="J45" s="59"/>
    </row>
    <row r="46" spans="2:10">
      <c r="B46" s="52"/>
      <c r="C46" s="53"/>
      <c r="D46" s="53"/>
      <c r="E46" s="54"/>
      <c r="G46" s="52"/>
      <c r="H46" s="53"/>
      <c r="I46" s="53"/>
      <c r="J46" s="54"/>
    </row>
    <row r="47" ht="9" customHeight="1" spans="2:10">
      <c r="B47" s="60"/>
      <c r="C47" s="61"/>
      <c r="D47" s="61"/>
      <c r="E47" s="62"/>
      <c r="G47" s="60"/>
      <c r="H47" s="61"/>
      <c r="I47" s="61"/>
      <c r="J47" s="62"/>
    </row>
    <row r="48" ht="23.1" customHeight="1" spans="2:10">
      <c r="B48" s="63"/>
      <c r="C48" s="64" t="s">
        <v>359</v>
      </c>
      <c r="D48" s="65"/>
      <c r="E48" s="63"/>
      <c r="G48" s="63"/>
      <c r="H48" s="63"/>
      <c r="I48" s="66" t="s">
        <v>360</v>
      </c>
      <c r="J48" s="63"/>
    </row>
    <row r="49" ht="9.95" customHeight="1"/>
  </sheetData>
  <mergeCells count="20">
    <mergeCell ref="H16:I16"/>
    <mergeCell ref="C21:E21"/>
    <mergeCell ref="H21:J21"/>
    <mergeCell ref="C22:E22"/>
    <mergeCell ref="H22:J22"/>
    <mergeCell ref="C23:E23"/>
    <mergeCell ref="H23:J23"/>
    <mergeCell ref="I24:J24"/>
    <mergeCell ref="C25:E25"/>
    <mergeCell ref="I25:J25"/>
    <mergeCell ref="C26:E26"/>
    <mergeCell ref="I26:J26"/>
    <mergeCell ref="C27:E27"/>
    <mergeCell ref="H27:J27"/>
    <mergeCell ref="C28:E28"/>
    <mergeCell ref="H28:J28"/>
    <mergeCell ref="I45:J45"/>
    <mergeCell ref="G24:G27"/>
    <mergeCell ref="B36:E38"/>
    <mergeCell ref="G36:J38"/>
  </mergeCells>
  <pageMargins left="0.2" right="0.11875" top="0.46875" bottom="0.309027777777778" header="0.159027777777778" footer="0.0388888888888889"/>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8" master="" otherUserPermission="visible"/>
  <rangeList sheetStid="7" master="" otherUserPermission="visible"/>
  <rangeList sheetStid="1" master="" otherUserPermission="visible"/>
  <rangeList sheetStid="6" master="" otherUserPermission="visible"/>
  <rangeList sheetStid="3" master="" otherUserPermission="visible"/>
  <rangeList sheetStid="4" master="" otherUserPermission="visible"/>
  <rangeList sheetStid="2" master="" otherUserPermission="visible"/>
  <rangeList sheetStid="5"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8</vt:i4>
      </vt:variant>
    </vt:vector>
  </HeadingPairs>
  <TitlesOfParts>
    <vt:vector size="8" baseType="lpstr">
      <vt:lpstr>增加项目简要提示</vt:lpstr>
      <vt:lpstr>填制规范</vt:lpstr>
      <vt:lpstr>报关单</vt:lpstr>
      <vt:lpstr>申报要素</vt:lpstr>
      <vt:lpstr>发票</vt:lpstr>
      <vt:lpstr>箱单</vt:lpstr>
      <vt:lpstr>合同</vt:lpstr>
      <vt:lpstr>委托书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桃浦兔！</cp:lastModifiedBy>
  <dcterms:created xsi:type="dcterms:W3CDTF">2018-07-03T02:44:00Z</dcterms:created>
  <cp:lastPrinted>2018-07-18T03:36:00Z</cp:lastPrinted>
  <dcterms:modified xsi:type="dcterms:W3CDTF">2026-01-09T02:32:55Z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2A77F7833EE141C8A4173426EB58B946_13</vt:lpwstr>
  </property>
  <property fmtid="{D5CDD505-2E9C-101B-9397-08002B2CF9AE}" pid="4" name="CalculationRule">
    <vt:i4>0</vt:i4>
  </property>
</Properties>
</file>